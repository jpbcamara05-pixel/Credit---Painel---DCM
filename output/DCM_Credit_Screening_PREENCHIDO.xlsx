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500" firstSheet="0" activeTab="2" autoFilterDateGrouping="1"/>
  </bookViews>
  <sheets>
    <sheet name="Painel de Crédito" sheetId="1" state="visible" r:id="rId1"/>
    <sheet name="Inputs — DFs" sheetId="2" state="visible" r:id="rId2"/>
    <sheet name="Cronograma de Amortização" sheetId="3" state="visible" r:id="rId3"/>
    <sheet name="Wall of Maturities" sheetId="4" state="visible" r:id="rId4"/>
    <sheet name="Covenants &amp; Capex" sheetId="5" state="visible" r:id="rId5"/>
    <sheet name="Fontes — RI" sheetId="6" state="visible" r:id="rId6"/>
    <sheet name="Notas Metodológicas" sheetId="7" state="visible" r:id="rId7"/>
    <sheet name="Disclaimers" sheetId="8" state="visible" r:id="rId8"/>
    <sheet name="Oportunidades de Deal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\x;\(0.0&quot;x)&quot;;\-"/>
    <numFmt numFmtId="166" formatCode="0.0\%;\(0.0&quot;%)&quot;;\-"/>
    <numFmt numFmtId="167" formatCode="0.0;\(0.0\);\-"/>
    <numFmt numFmtId="168" formatCode="0.0%;\(0.0%\);\-"/>
    <numFmt numFmtId="169" formatCode="dd/mm/yyyy"/>
    <numFmt numFmtId="170" formatCode="yyyy-mm-dd"/>
  </numFmts>
  <fonts count="16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8"/>
    </font>
    <font>
      <name val="Arial"/>
      <family val="2"/>
      <i val="1"/>
      <color rgb="FF7F6000"/>
      <sz val="8"/>
    </font>
    <font>
      <name val="Arial"/>
      <family val="2"/>
      <b val="1"/>
      <color rgb="FF0000FF"/>
      <sz val="9"/>
    </font>
    <font>
      <name val="Arial"/>
      <family val="2"/>
      <color rgb="FF0000FF"/>
      <sz val="9"/>
    </font>
    <font>
      <name val="Arial"/>
      <family val="2"/>
      <color rgb="FF008000"/>
      <sz val="9"/>
    </font>
    <font>
      <name val="Arial"/>
      <family val="2"/>
      <color rgb="FF000000"/>
      <sz val="9"/>
    </font>
    <font>
      <name val="Arial"/>
      <family val="2"/>
      <i val="1"/>
      <color rgb="FF375623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b val="1"/>
      <color rgb="FF1F3864"/>
      <sz val="9"/>
    </font>
    <font>
      <name val="Arial"/>
      <family val="2"/>
      <color rgb="FF0563C1"/>
      <sz val="9"/>
      <u val="single"/>
    </font>
    <font>
      <name val="Calibri"/>
      <charset val="1"/>
      <family val="2"/>
      <color theme="10"/>
      <sz val="11"/>
      <u val="single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563C1"/>
      </patternFill>
    </fill>
    <fill>
      <patternFill patternType="solid">
        <fgColor rgb="FFFFF2CC"/>
        <bgColor rgb="FFE2EFDA"/>
      </patternFill>
    </fill>
    <fill>
      <patternFill patternType="solid">
        <fgColor rgb="FFF2F7FB"/>
        <bgColor rgb="FFEBF3FB"/>
      </patternFill>
    </fill>
    <fill>
      <patternFill patternType="solid">
        <fgColor rgb="FFFFFFFF"/>
        <bgColor rgb="FFF2F7FB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EBF3FB"/>
      </patternFill>
    </fill>
    <fill>
      <patternFill patternType="solid">
        <fgColor rgb="FFEBF3FB"/>
        <bgColor rgb="FFF2F7FB"/>
      </patternFill>
    </fill>
    <fill>
      <patternFill patternType="solid">
        <fgColor rgb="FFD6E4F0"/>
        <bgColor rgb="FFE2EFDA"/>
      </patternFill>
    </fill>
    <fill>
      <patternFill patternType="solid">
        <fgColor rgb="00DCE6F1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4" fillId="0" borderId="0"/>
  </cellStyleXfs>
  <cellXfs count="78">
    <xf numFmtId="0" fontId="0" fillId="0" borderId="0" pivotButton="0" quotePrefix="0" xfId="0"/>
    <xf numFmtId="0" fontId="12" fillId="11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8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168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8" fontId="8" fillId="10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169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4" fillId="5" borderId="1" applyAlignment="1" pivotButton="0" quotePrefix="0" xfId="1">
      <alignment horizontal="left" vertical="center"/>
    </xf>
    <xf numFmtId="0" fontId="0" fillId="0" borderId="4" pivotButton="0" quotePrefix="0" xfId="0"/>
    <xf numFmtId="0" fontId="0" fillId="0" borderId="6" pivotButton="0" quotePrefix="0" xfId="0"/>
    <xf numFmtId="0" fontId="6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17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15" fillId="13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6E4F0"/>
      <rgbColor rgb="FF808080"/>
      <rgbColor rgb="FF9999FF"/>
      <rgbColor rgb="FF7030A0"/>
      <rgbColor rgb="FFFFF2CC"/>
      <rgbColor rgb="FFEBF3FB"/>
      <rgbColor rgb="FF660066"/>
      <rgbColor rgb="FFFF8080"/>
      <rgbColor rgb="FF0563C1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energisa.com.br/Paginas/Informacoes/Investidores.aspx" TargetMode="External" Id="rId1" /><Relationship Type="http://schemas.openxmlformats.org/officeDocument/2006/relationships/hyperlink" Target="https://ri.cemig.com.br/" TargetMode="External" Id="rId2" /><Relationship Type="http://schemas.openxmlformats.org/officeDocument/2006/relationships/hyperlink" Target="https://ri.cpfl.com.br/" TargetMode="External" Id="rId3" /><Relationship Type="http://schemas.openxmlformats.org/officeDocument/2006/relationships/hyperlink" Target="https://ri.desktop.com.br/" TargetMode="External" Id="rId4" /><Relationship Type="http://schemas.openxmlformats.org/officeDocument/2006/relationships/hyperlink" Target="https://ri.unifique.com.br/" TargetMode="External" Id="rId5" /><Relationship Type="http://schemas.openxmlformats.org/officeDocument/2006/relationships/hyperlink" Target="https://ri.brisanet.com.br/" TargetMode="External" Id="rId6" /><Relationship Type="http://schemas.openxmlformats.org/officeDocument/2006/relationships/hyperlink" Target="https://www.vero.net.br/ri" TargetMode="External" Id="rId7" /><Relationship Type="http://schemas.openxmlformats.org/officeDocument/2006/relationships/hyperlink" Target="https://www.allohari.com/" TargetMode="External" Id="rId8" /><Relationship Type="http://schemas.openxmlformats.org/officeDocument/2006/relationships/hyperlink" Target="https://ri.alaresinternet.com.br/" TargetMode="External" Id="rId9" /><Relationship Type="http://schemas.openxmlformats.org/officeDocument/2006/relationships/hyperlink" Target="https://ri.brasiltecpar.com.br/" TargetMode="External" Id="rId10" /><Relationship Type="http://schemas.openxmlformats.org/officeDocument/2006/relationships/hyperlink" Target="https://ri.algar.com.br/" TargetMode="External" Id="rId11" /><Relationship Type="http://schemas.openxmlformats.org/officeDocument/2006/relationships/hyperlink" Target="https://ri.tim.com.br/" TargetMode="External" Id="rId12" /><Relationship Type="http://schemas.openxmlformats.org/officeDocument/2006/relationships/hyperlink" Target="https://ri.vamos.com.br/" TargetMode="External" Id="rId13" /><Relationship Type="http://schemas.openxmlformats.org/officeDocument/2006/relationships/hyperlink" Target="https://ri.movida.com.br/" TargetMode="External" Id="rId14" /><Relationship Type="http://schemas.openxmlformats.org/officeDocument/2006/relationships/hyperlink" Target="https://ri.jsl.com.br/" TargetMode="External" Id="rId15" /><Relationship Type="http://schemas.openxmlformats.org/officeDocument/2006/relationships/hyperlink" Target="https://ri.ecorodovias.com.br/" TargetMode="External" Id="rId16" /><Relationship Type="http://schemas.openxmlformats.org/officeDocument/2006/relationships/hyperlink" Target="https://ri.santosbrasil.com.br/" TargetMode="External" Id="rId17" /><Relationship Type="http://schemas.openxmlformats.org/officeDocument/2006/relationships/hyperlink" Target="https://ri.copasa.com.br/" TargetMode="External" Id="rId18" /><Relationship Type="http://schemas.openxmlformats.org/officeDocument/2006/relationships/hyperlink" Target="https://www.sanepar.com.br/ri" TargetMode="External" Id="rId19" /><Relationship Type="http://schemas.openxmlformats.org/officeDocument/2006/relationships/hyperlink" Target="https://ri.saneago.com.br/" TargetMode="External" Id="rId20" /><Relationship Type="http://schemas.openxmlformats.org/officeDocument/2006/relationships/hyperlink" Target="https://ri.vix.com.br/" TargetMode="External" Id="rId21" /><Relationship Type="http://schemas.openxmlformats.org/officeDocument/2006/relationships/hyperlink" Target="https://ri.armac.com.br/" TargetMode="External" Id="rId22" /><Relationship Type="http://schemas.openxmlformats.org/officeDocument/2006/relationships/hyperlink" Target="https://ri.unidas.com.br/" TargetMode="External" Id="rId23" /><Relationship Type="http://schemas.openxmlformats.org/officeDocument/2006/relationships/hyperlink" Target="https://ri.mills.com.br/" TargetMode="External" Id="rId24" /><Relationship Type="http://schemas.openxmlformats.org/officeDocument/2006/relationships/hyperlink" Target="https://ri.priner.com.br/" TargetMode="External" Id="rId25" /><Relationship Type="http://schemas.openxmlformats.org/officeDocument/2006/relationships/hyperlink" Target="https://ri.auraminerals.com/" TargetMode="External" Id="rId26" /><Relationship Type="http://schemas.openxmlformats.org/officeDocument/2006/relationships/hyperlink" Target="https://www.vale.com/pt/investidores" TargetMode="External" Id="rId27" /><Relationship Type="http://schemas.openxmlformats.org/officeDocument/2006/relationships/hyperlink" Target="https://ri.rededorsp.com.br/" TargetMode="External" Id="rId28" /><Relationship Type="http://schemas.openxmlformats.org/officeDocument/2006/relationships/hyperlink" Target="https://ri.grupogsh.com.br/" TargetMode="External" Id="rId29" /><Relationship Type="http://schemas.openxmlformats.org/officeDocument/2006/relationships/hyperlink" Target="https://ri.hapvida.com.br/" TargetMode="External" Id="rId30" /><Relationship Type="http://schemas.openxmlformats.org/officeDocument/2006/relationships/hyperlink" Target="https://ri.klabin.com.br/" TargetMode="External" Id="rId31" /><Relationship Type="http://schemas.openxmlformats.org/officeDocument/2006/relationships/hyperlink" Target="https://ri.unipar.com/" TargetMode="External" Id="rId32" /><Relationship Type="http://schemas.openxmlformats.org/officeDocument/2006/relationships/hyperlink" Target="https://ri.saomartinho.com.br/" TargetMode="External" Id="rId33" /><Relationship Type="http://schemas.openxmlformats.org/officeDocument/2006/relationships/hyperlink" Target="https://ri.adecoagro.com/" TargetMode="External" Id="rId34" /><Relationship Type="http://schemas.openxmlformats.org/officeDocument/2006/relationships/hyperlink" Target="https://ri.brf.com.br/" TargetMode="External" Id="rId35" /><Relationship Type="http://schemas.openxmlformats.org/officeDocument/2006/relationships/hyperlink" Target="https://ri.animaeducacao.com.br/" TargetMode="External" Id="rId36" /><Relationship Type="http://schemas.openxmlformats.org/officeDocument/2006/relationships/hyperlink" Target="https://ri.inspiralli.com.br/" TargetMode="External" Id="rId37" /><Relationship Type="http://schemas.openxmlformats.org/officeDocument/2006/relationships/hyperlink" Target="https://ri.yduqs.com.br/" TargetMode="External" Id="rId38" /><Relationship Type="http://schemas.openxmlformats.org/officeDocument/2006/relationships/hyperlink" Target="https://ri.afya.com.br/" TargetMode="External" Id="rId39" /><Relationship Type="http://schemas.openxmlformats.org/officeDocument/2006/relationships/hyperlink" Target="https://ri.cruzeirodosul.edu.br/" TargetMode="External" Id="rId40" /><Relationship Type="http://schemas.openxmlformats.org/officeDocument/2006/relationships/hyperlink" Target="https://ri.cogna.com.br/" TargetMode="External" Id="rId41" /><Relationship Type="http://schemas.openxmlformats.org/officeDocument/2006/relationships/hyperlink" Target="https://ri.vitru.com.br/" TargetMode="External" Id="rId42" /><Relationship Type="http://schemas.openxmlformats.org/officeDocument/2006/relationships/hyperlink" Target="https://ri.sereducacional.com/" TargetMode="External" Id="rId43" /><Relationship Type="http://schemas.openxmlformats.org/officeDocument/2006/relationships/hyperlink" Target="https://ri.saltaeducacao.com.br/" TargetMode="External" Id="rId44" /><Relationship Type="http://schemas.openxmlformats.org/officeDocument/2006/relationships/hyperlink" Target="https://ri.inspira.edu.br/" TargetMode="External" Id="rId45" /><Relationship Type="http://schemas.openxmlformats.org/officeDocument/2006/relationships/hyperlink" Target="https://ri.smartfit.com.br/" TargetMode="External" Id="rId46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Z5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1" sqref="A1:Z1"/>
    </sheetView>
  </sheetViews>
  <sheetFormatPr baseColWidth="10" defaultColWidth="8.6640625" defaultRowHeight="15"/>
  <cols>
    <col width="22" customWidth="1" min="1" max="1"/>
    <col width="9" customWidth="1" min="2" max="2"/>
    <col width="18" customWidth="1" min="3" max="3"/>
    <col width="14" customWidth="1" min="4" max="4"/>
    <col width="13" customWidth="1" min="5" max="5"/>
    <col width="14" customWidth="1" min="6" max="7"/>
    <col width="12" customWidth="1" min="8" max="9"/>
    <col width="13" customWidth="1" min="10" max="10"/>
    <col width="12" customWidth="1" min="11" max="11"/>
    <col width="10" customWidth="1" min="12" max="12"/>
    <col width="13" customWidth="1" min="13" max="13"/>
    <col width="12" customWidth="1" min="14" max="14"/>
    <col width="18" customWidth="1" min="15" max="15"/>
    <col width="20" customWidth="1" min="16" max="16"/>
    <col width="18" customWidth="1" min="17" max="17"/>
    <col width="28" customWidth="1" min="18" max="18"/>
  </cols>
  <sheetData>
    <row r="1" ht="13.5" customHeight="1">
      <c r="A1" s="13" t="inlineStr">
        <is>
          <t>DCM CREDIT SCREENING  |  ANÁLISE DE OPORTUNIDADES DE DÍVIDA  |  BASE: ÚLTIMO QUARTER LTM DIVULGADO</t>
        </is>
      </c>
    </row>
    <row r="2" ht="18" customHeight="1">
      <c r="A2" s="12" t="inlineStr">
        <is>
          <t>IDENTIFICAÇÃO</t>
        </is>
      </c>
      <c r="D2" s="12" t="inlineStr">
        <is>
          <t>INDICADORES DE CRÉDITO E LIQUIDEZ</t>
        </is>
      </c>
      <c r="O2" s="12" t="inlineStr">
        <is>
          <t>TRIGGERS / CATALISADORES</t>
        </is>
      </c>
    </row>
    <row r="3" ht="36" customHeight="1">
      <c r="A3" s="14" t="inlineStr">
        <is>
          <t>Empresa</t>
        </is>
      </c>
      <c r="B3" s="14" t="inlineStr">
        <is>
          <t>Ticker</t>
        </is>
      </c>
      <c r="C3" s="14" t="inlineStr">
        <is>
          <t>Setor</t>
        </is>
      </c>
      <c r="D3" s="14" t="inlineStr">
        <is>
          <t>Dívida Bruta
(R$ mm)</t>
        </is>
      </c>
      <c r="E3" s="14" t="inlineStr">
        <is>
          <t>Caixa
(R$ mm)</t>
        </is>
      </c>
      <c r="F3" s="14" t="inlineStr">
        <is>
          <t>Dívida Líquida
(R$ mm)</t>
        </is>
      </c>
      <c r="G3" s="14" t="inlineStr">
        <is>
          <t>EBITDA LTM
(R$ mm)</t>
        </is>
      </c>
      <c r="H3" s="14" t="inlineStr">
        <is>
          <t>Dív Líq /
EBITDA (x)</t>
        </is>
      </c>
      <c r="I3" s="14" t="inlineStr">
        <is>
          <t>EBITDA /
Desp Fin (x)</t>
        </is>
      </c>
      <c r="J3" s="14" t="inlineStr">
        <is>
          <t>Custo Médio
Dívida % aa</t>
        </is>
      </c>
      <c r="K3" s="14" t="inlineStr">
        <is>
          <t>Duration
Média (anos)</t>
        </is>
      </c>
      <c r="L3" s="14" t="inlineStr">
        <is>
          <t>% CP
Dívida</t>
        </is>
      </c>
      <c r="M3" s="14" t="inlineStr">
        <is>
          <t>Dívida CP
(R$ mm)</t>
        </is>
      </c>
      <c r="N3" s="14" t="inlineStr">
        <is>
          <t>Caixa /
Dívida CP (x)</t>
        </is>
      </c>
      <c r="O3" s="14" t="inlineStr">
        <is>
          <t>Covenants
Financeiros</t>
        </is>
      </c>
      <c r="P3" s="14" t="inlineStr">
        <is>
          <t>Guidance
Capex 12-24m</t>
        </is>
      </c>
      <c r="Q3" s="14" t="inlineStr">
        <is>
          <t>M&amp;A
Recente</t>
        </is>
      </c>
      <c r="R3" s="14" t="inlineStr">
        <is>
          <t>Observações /
Oportunidade</t>
        </is>
      </c>
    </row>
    <row r="4" ht="13.5" customHeight="1">
      <c r="A4" s="11" t="inlineStr">
        <is>
          <t>⚠  Convenção de cores de texto:  Azul = Input manual (hardcode)  |  Preto = Fórmula  |  Verde = Link cross-sheet  |  Amarelo = Atenção / Atualizar</t>
        </is>
      </c>
    </row>
    <row r="5" ht="16.5" customHeight="1">
      <c r="A5" s="15" t="inlineStr">
        <is>
          <t>Energisa</t>
        </is>
      </c>
      <c r="B5" s="16" t="inlineStr">
        <is>
          <t>ENGI11</t>
        </is>
      </c>
      <c r="C5" s="17" t="inlineStr">
        <is>
          <t>Energia Elétrica</t>
        </is>
      </c>
      <c r="D5" s="18">
        <f>'Inputs — DFs'!Q6</f>
        <v/>
      </c>
      <c r="E5" s="18">
        <f>'Inputs — DFs'!S6</f>
        <v/>
      </c>
      <c r="F5" s="19">
        <f>IF(AND(D5&lt;&gt;"",E5&lt;&gt;""),D5-E5,"")</f>
        <v/>
      </c>
      <c r="G5" s="18">
        <f>'Inputs — DFs'!V6</f>
        <v/>
      </c>
      <c r="H5" s="20">
        <f>IF(AND(G5&lt;&gt;"",((G5)&lt;&gt;0)),F5/G5,"")</f>
        <v/>
      </c>
      <c r="I5" s="21">
        <f>'Inputs — DFs'!Y6</f>
        <v/>
      </c>
      <c r="J5" s="22" t="n"/>
      <c r="K5" s="23" t="n"/>
      <c r="L5" s="24">
        <f>'Inputs — DFs'!Z6</f>
        <v/>
      </c>
      <c r="M5" s="18">
        <f>'Inputs — DFs'!AA6</f>
        <v/>
      </c>
      <c r="N5" s="20">
        <f>IF(AND(M5&lt;&gt;"",((M5)&lt;&gt;0)),E5/M5,"")</f>
        <v/>
      </c>
      <c r="O5" s="25" t="n"/>
      <c r="P5" s="25" t="n"/>
      <c r="Q5" s="25" t="n"/>
      <c r="R5" s="25" t="n"/>
    </row>
    <row r="6" ht="16.5" customHeight="1">
      <c r="A6" s="26" t="inlineStr">
        <is>
          <t>Cemig</t>
        </is>
      </c>
      <c r="B6" s="27" t="inlineStr">
        <is>
          <t>CMIG4</t>
        </is>
      </c>
      <c r="C6" s="28" t="inlineStr">
        <is>
          <t>Energia Elétrica</t>
        </is>
      </c>
      <c r="D6" s="29">
        <f>'Inputs — DFs'!Q7</f>
        <v/>
      </c>
      <c r="E6" s="29">
        <f>'Inputs — DFs'!S7</f>
        <v/>
      </c>
      <c r="F6" s="30">
        <f>IF(AND(D6&lt;&gt;"",E6&lt;&gt;""),D6-E6,"")</f>
        <v/>
      </c>
      <c r="G6" s="29">
        <f>'Inputs — DFs'!V7</f>
        <v/>
      </c>
      <c r="H6" s="31">
        <f>IF(AND(G6&lt;&gt;"",((G6)&lt;&gt;0)),F6/G6,"")</f>
        <v/>
      </c>
      <c r="I6" s="32">
        <f>'Inputs — DFs'!Y7</f>
        <v/>
      </c>
      <c r="J6" s="33" t="n"/>
      <c r="K6" s="34" t="n"/>
      <c r="L6" s="35">
        <f>'Inputs — DFs'!Z7</f>
        <v/>
      </c>
      <c r="M6" s="29">
        <f>'Inputs — DFs'!AA7</f>
        <v/>
      </c>
      <c r="N6" s="31">
        <f>IF(AND(M6&lt;&gt;"",((M6)&lt;&gt;0)),E6/M6,"")</f>
        <v/>
      </c>
      <c r="O6" s="36" t="n"/>
      <c r="P6" s="36" t="n"/>
      <c r="Q6" s="36" t="n"/>
      <c r="R6" s="36" t="n"/>
    </row>
    <row r="7" ht="16.5" customHeight="1">
      <c r="A7" s="15" t="inlineStr">
        <is>
          <t>CPFL</t>
        </is>
      </c>
      <c r="B7" s="16" t="inlineStr">
        <is>
          <t>CPFE3</t>
        </is>
      </c>
      <c r="C7" s="17" t="inlineStr">
        <is>
          <t>Energia Elétrica</t>
        </is>
      </c>
      <c r="D7" s="18">
        <f>'Inputs — DFs'!Q8</f>
        <v/>
      </c>
      <c r="E7" s="18">
        <f>'Inputs — DFs'!S8</f>
        <v/>
      </c>
      <c r="F7" s="19">
        <f>IF(AND(D7&lt;&gt;"",E7&lt;&gt;""),D7-E7,"")</f>
        <v/>
      </c>
      <c r="G7" s="18">
        <f>'Inputs — DFs'!V8</f>
        <v/>
      </c>
      <c r="H7" s="20">
        <f>IF(AND(G7&lt;&gt;"",((G7)&lt;&gt;0)),F7/G7,"")</f>
        <v/>
      </c>
      <c r="I7" s="21">
        <f>'Inputs — DFs'!Y8</f>
        <v/>
      </c>
      <c r="J7" s="22" t="n"/>
      <c r="K7" s="23" t="n"/>
      <c r="L7" s="24">
        <f>'Inputs — DFs'!Z8</f>
        <v/>
      </c>
      <c r="M7" s="18">
        <f>'Inputs — DFs'!AA8</f>
        <v/>
      </c>
      <c r="N7" s="20">
        <f>IF(AND(M7&lt;&gt;"",((M7)&lt;&gt;0)),E7/M7,"")</f>
        <v/>
      </c>
      <c r="O7" s="25" t="n"/>
      <c r="P7" s="25" t="n"/>
      <c r="Q7" s="25" t="n"/>
      <c r="R7" s="25" t="n"/>
    </row>
    <row r="8" ht="16.5" customHeight="1">
      <c r="A8" s="26" t="inlineStr">
        <is>
          <t>Desktop</t>
        </is>
      </c>
      <c r="B8" s="27" t="inlineStr">
        <is>
          <t>DESK3</t>
        </is>
      </c>
      <c r="C8" s="28" t="inlineStr">
        <is>
          <t>Telecom / ISP</t>
        </is>
      </c>
      <c r="D8" s="29">
        <f>'Inputs — DFs'!Q9</f>
        <v/>
      </c>
      <c r="E8" s="29">
        <f>'Inputs — DFs'!S9</f>
        <v/>
      </c>
      <c r="F8" s="30">
        <f>IF(AND(D8&lt;&gt;"",E8&lt;&gt;""),D8-E8,"")</f>
        <v/>
      </c>
      <c r="G8" s="29">
        <f>'Inputs — DFs'!V9</f>
        <v/>
      </c>
      <c r="H8" s="31">
        <f>IF(AND(G8&lt;&gt;"",((G8)&lt;&gt;0)),F8/G8,"")</f>
        <v/>
      </c>
      <c r="I8" s="32">
        <f>'Inputs — DFs'!Y9</f>
        <v/>
      </c>
      <c r="J8" s="33" t="n"/>
      <c r="K8" s="34" t="n"/>
      <c r="L8" s="35">
        <f>'Inputs — DFs'!Z9</f>
        <v/>
      </c>
      <c r="M8" s="29">
        <f>'Inputs — DFs'!AA9</f>
        <v/>
      </c>
      <c r="N8" s="31">
        <f>IF(AND(M8&lt;&gt;"",((M8)&lt;&gt;0)),E8/M8,"")</f>
        <v/>
      </c>
      <c r="O8" s="36" t="n"/>
      <c r="P8" s="36" t="n"/>
      <c r="Q8" s="36" t="n"/>
      <c r="R8" s="36" t="n"/>
    </row>
    <row r="9" ht="16.5" customHeight="1">
      <c r="A9" s="15" t="inlineStr">
        <is>
          <t>Unifique</t>
        </is>
      </c>
      <c r="B9" s="16" t="inlineStr">
        <is>
          <t>FIQE3</t>
        </is>
      </c>
      <c r="C9" s="17" t="inlineStr">
        <is>
          <t>Telecom / ISP</t>
        </is>
      </c>
      <c r="D9" s="18">
        <f>'Inputs — DFs'!Q10</f>
        <v/>
      </c>
      <c r="E9" s="18">
        <f>'Inputs — DFs'!S10</f>
        <v/>
      </c>
      <c r="F9" s="19">
        <f>IF(AND(D9&lt;&gt;"",E9&lt;&gt;""),D9-E9,"")</f>
        <v/>
      </c>
      <c r="G9" s="18">
        <f>'Inputs — DFs'!V10</f>
        <v/>
      </c>
      <c r="H9" s="20">
        <f>IF(AND(G9&lt;&gt;"",((G9)&lt;&gt;0)),F9/G9,"")</f>
        <v/>
      </c>
      <c r="I9" s="21">
        <f>'Inputs — DFs'!Y10</f>
        <v/>
      </c>
      <c r="J9" s="22" t="n"/>
      <c r="K9" s="23" t="n"/>
      <c r="L9" s="24">
        <f>'Inputs — DFs'!Z10</f>
        <v/>
      </c>
      <c r="M9" s="18">
        <f>'Inputs — DFs'!AA10</f>
        <v/>
      </c>
      <c r="N9" s="20">
        <f>IF(AND(M9&lt;&gt;"",((M9)&lt;&gt;0)),E9/M9,"")</f>
        <v/>
      </c>
      <c r="O9" s="25" t="n"/>
      <c r="P9" s="25" t="n"/>
      <c r="Q9" s="25" t="n"/>
      <c r="R9" s="25" t="n"/>
    </row>
    <row r="10" ht="16.5" customHeight="1">
      <c r="A10" s="26" t="inlineStr">
        <is>
          <t>Brisanet</t>
        </is>
      </c>
      <c r="B10" s="27" t="inlineStr">
        <is>
          <t>BRIT3</t>
        </is>
      </c>
      <c r="C10" s="28" t="inlineStr">
        <is>
          <t>Telecom / ISP</t>
        </is>
      </c>
      <c r="D10" s="29">
        <f>'Inputs — DFs'!Q11</f>
        <v/>
      </c>
      <c r="E10" s="29">
        <f>'Inputs — DFs'!S11</f>
        <v/>
      </c>
      <c r="F10" s="30">
        <f>IF(AND(D10&lt;&gt;"",E10&lt;&gt;""),D10-E10,"")</f>
        <v/>
      </c>
      <c r="G10" s="29">
        <f>'Inputs — DFs'!V11</f>
        <v/>
      </c>
      <c r="H10" s="31">
        <f>IF(AND(G10&lt;&gt;"",((G10)&lt;&gt;0)),F10/G10,"")</f>
        <v/>
      </c>
      <c r="I10" s="32">
        <f>'Inputs — DFs'!Y11</f>
        <v/>
      </c>
      <c r="J10" s="33" t="n"/>
      <c r="K10" s="34" t="n"/>
      <c r="L10" s="35">
        <f>'Inputs — DFs'!Z11</f>
        <v/>
      </c>
      <c r="M10" s="29">
        <f>'Inputs — DFs'!AA11</f>
        <v/>
      </c>
      <c r="N10" s="31">
        <f>IF(AND(M10&lt;&gt;"",((M10)&lt;&gt;0)),E10/M10,"")</f>
        <v/>
      </c>
      <c r="O10" s="36" t="n"/>
      <c r="P10" s="36" t="n"/>
      <c r="Q10" s="36" t="n"/>
      <c r="R10" s="36" t="n"/>
    </row>
    <row r="11" ht="16.5" customHeight="1">
      <c r="A11" s="15" t="inlineStr">
        <is>
          <t>Vero</t>
        </is>
      </c>
      <c r="B11" s="16" t="inlineStr">
        <is>
          <t>N/A</t>
        </is>
      </c>
      <c r="C11" s="17" t="inlineStr">
        <is>
          <t>Telecom / ISP</t>
        </is>
      </c>
      <c r="D11" s="18">
        <f>'Inputs — DFs'!Q12</f>
        <v/>
      </c>
      <c r="E11" s="18">
        <f>'Inputs — DFs'!S12</f>
        <v/>
      </c>
      <c r="F11" s="19">
        <f>IF(AND(D11&lt;&gt;"",E11&lt;&gt;""),D11-E11,"")</f>
        <v/>
      </c>
      <c r="G11" s="18">
        <f>'Inputs — DFs'!V12</f>
        <v/>
      </c>
      <c r="H11" s="20">
        <f>IF(AND(G11&lt;&gt;"",((G11)&lt;&gt;0)),F11/G11,"")</f>
        <v/>
      </c>
      <c r="I11" s="21">
        <f>'Inputs — DFs'!Y12</f>
        <v/>
      </c>
      <c r="J11" s="22" t="n"/>
      <c r="K11" s="23" t="n"/>
      <c r="L11" s="24">
        <f>'Inputs — DFs'!Z12</f>
        <v/>
      </c>
      <c r="M11" s="18">
        <f>'Inputs — DFs'!AA12</f>
        <v/>
      </c>
      <c r="N11" s="20">
        <f>IF(AND(M11&lt;&gt;"",((M11)&lt;&gt;0)),E11/M11,"")</f>
        <v/>
      </c>
      <c r="O11" s="25" t="n"/>
      <c r="P11" s="25" t="n"/>
      <c r="Q11" s="25" t="n"/>
      <c r="R11" s="25" t="n"/>
    </row>
    <row r="12" ht="16.5" customHeight="1">
      <c r="A12" s="26" t="inlineStr">
        <is>
          <t>Alloha</t>
        </is>
      </c>
      <c r="B12" s="27" t="inlineStr">
        <is>
          <t>N/A</t>
        </is>
      </c>
      <c r="C12" s="28" t="inlineStr">
        <is>
          <t>Telecom / ISP</t>
        </is>
      </c>
      <c r="D12" s="29">
        <f>'Inputs — DFs'!Q13</f>
        <v/>
      </c>
      <c r="E12" s="29">
        <f>'Inputs — DFs'!S13</f>
        <v/>
      </c>
      <c r="F12" s="30">
        <f>IF(AND(D12&lt;&gt;"",E12&lt;&gt;""),D12-E12,"")</f>
        <v/>
      </c>
      <c r="G12" s="29">
        <f>'Inputs — DFs'!V13</f>
        <v/>
      </c>
      <c r="H12" s="31">
        <f>IF(AND(G12&lt;&gt;"",((G12)&lt;&gt;0)),F12/G12,"")</f>
        <v/>
      </c>
      <c r="I12" s="32">
        <f>'Inputs — DFs'!Y13</f>
        <v/>
      </c>
      <c r="J12" s="33" t="n"/>
      <c r="K12" s="34" t="n"/>
      <c r="L12" s="35">
        <f>'Inputs — DFs'!Z13</f>
        <v/>
      </c>
      <c r="M12" s="29">
        <f>'Inputs — DFs'!AA13</f>
        <v/>
      </c>
      <c r="N12" s="31">
        <f>IF(AND(M12&lt;&gt;"",((M12)&lt;&gt;0)),E12/M12,"")</f>
        <v/>
      </c>
      <c r="O12" s="36" t="n"/>
      <c r="P12" s="36" t="n"/>
      <c r="Q12" s="36" t="n"/>
      <c r="R12" s="36" t="n"/>
    </row>
    <row r="13" ht="16.5" customHeight="1">
      <c r="A13" s="15" t="inlineStr">
        <is>
          <t>Alares</t>
        </is>
      </c>
      <c r="B13" s="16" t="inlineStr">
        <is>
          <t>N/A</t>
        </is>
      </c>
      <c r="C13" s="17" t="inlineStr">
        <is>
          <t>Telecom / ISP</t>
        </is>
      </c>
      <c r="D13" s="18">
        <f>'Inputs — DFs'!Q14</f>
        <v/>
      </c>
      <c r="E13" s="18">
        <f>'Inputs — DFs'!S14</f>
        <v/>
      </c>
      <c r="F13" s="19">
        <f>IF(AND(D13&lt;&gt;"",E13&lt;&gt;""),D13-E13,"")</f>
        <v/>
      </c>
      <c r="G13" s="18">
        <f>'Inputs — DFs'!V14</f>
        <v/>
      </c>
      <c r="H13" s="20">
        <f>IF(AND(G13&lt;&gt;"",((G13)&lt;&gt;0)),F13/G13,"")</f>
        <v/>
      </c>
      <c r="I13" s="21">
        <f>'Inputs — DFs'!Y14</f>
        <v/>
      </c>
      <c r="J13" s="22" t="n"/>
      <c r="K13" s="23" t="n"/>
      <c r="L13" s="24">
        <f>'Inputs — DFs'!Z14</f>
        <v/>
      </c>
      <c r="M13" s="18">
        <f>'Inputs — DFs'!AA14</f>
        <v/>
      </c>
      <c r="N13" s="20">
        <f>IF(AND(M13&lt;&gt;"",((M13)&lt;&gt;0)),E13/M13,"")</f>
        <v/>
      </c>
      <c r="O13" s="25" t="n"/>
      <c r="P13" s="25" t="n"/>
      <c r="Q13" s="25" t="n"/>
      <c r="R13" s="25" t="n"/>
    </row>
    <row r="14" ht="16.5" customHeight="1">
      <c r="A14" s="26" t="inlineStr">
        <is>
          <t>Tecpar / BrTecPar</t>
        </is>
      </c>
      <c r="B14" s="27" t="inlineStr">
        <is>
          <t>N/A</t>
        </is>
      </c>
      <c r="C14" s="28" t="inlineStr">
        <is>
          <t>Telecom / ISP</t>
        </is>
      </c>
      <c r="D14" s="29">
        <f>'Inputs — DFs'!Q15</f>
        <v/>
      </c>
      <c r="E14" s="29">
        <f>'Inputs — DFs'!S15</f>
        <v/>
      </c>
      <c r="F14" s="30">
        <f>IF(AND(D14&lt;&gt;"",E14&lt;&gt;""),D14-E14,"")</f>
        <v/>
      </c>
      <c r="G14" s="29">
        <f>'Inputs — DFs'!V15</f>
        <v/>
      </c>
      <c r="H14" s="31">
        <f>IF(AND(G14&lt;&gt;"",((G14)&lt;&gt;0)),F14/G14,"")</f>
        <v/>
      </c>
      <c r="I14" s="32">
        <f>'Inputs — DFs'!Y15</f>
        <v/>
      </c>
      <c r="J14" s="33" t="n"/>
      <c r="K14" s="34" t="n"/>
      <c r="L14" s="35">
        <f>'Inputs — DFs'!Z15</f>
        <v/>
      </c>
      <c r="M14" s="29">
        <f>'Inputs — DFs'!AA15</f>
        <v/>
      </c>
      <c r="N14" s="31">
        <f>IF(AND(M14&lt;&gt;"",((M14)&lt;&gt;0)),E14/M14,"")</f>
        <v/>
      </c>
      <c r="O14" s="36" t="n"/>
      <c r="P14" s="36" t="n"/>
      <c r="Q14" s="36" t="n"/>
      <c r="R14" s="36" t="n"/>
    </row>
    <row r="15" ht="16.5" customHeight="1">
      <c r="A15" s="15" t="inlineStr">
        <is>
          <t>Algar</t>
        </is>
      </c>
      <c r="B15" s="16" t="inlineStr">
        <is>
          <t>ALGT3</t>
        </is>
      </c>
      <c r="C15" s="17" t="inlineStr">
        <is>
          <t>Telecom / ISP</t>
        </is>
      </c>
      <c r="D15" s="18">
        <f>'Inputs — DFs'!Q16</f>
        <v/>
      </c>
      <c r="E15" s="18">
        <f>'Inputs — DFs'!S16</f>
        <v/>
      </c>
      <c r="F15" s="19">
        <f>IF(AND(D15&lt;&gt;"",E15&lt;&gt;""),D15-E15,"")</f>
        <v/>
      </c>
      <c r="G15" s="18">
        <f>'Inputs — DFs'!V16</f>
        <v/>
      </c>
      <c r="H15" s="20">
        <f>IF(AND(G15&lt;&gt;"",((G15)&lt;&gt;0)),F15/G15,"")</f>
        <v/>
      </c>
      <c r="I15" s="21">
        <f>'Inputs — DFs'!Y16</f>
        <v/>
      </c>
      <c r="J15" s="22" t="n"/>
      <c r="K15" s="23" t="n"/>
      <c r="L15" s="24">
        <f>'Inputs — DFs'!Z16</f>
        <v/>
      </c>
      <c r="M15" s="18">
        <f>'Inputs — DFs'!AA16</f>
        <v/>
      </c>
      <c r="N15" s="20">
        <f>IF(AND(M15&lt;&gt;"",((M15)&lt;&gt;0)),E15/M15,"")</f>
        <v/>
      </c>
      <c r="O15" s="25" t="n"/>
      <c r="P15" s="25" t="n"/>
      <c r="Q15" s="25" t="n"/>
      <c r="R15" s="25" t="n"/>
    </row>
    <row r="16" ht="16.5" customHeight="1">
      <c r="A16" s="26" t="inlineStr">
        <is>
          <t>TIM</t>
        </is>
      </c>
      <c r="B16" s="27" t="inlineStr">
        <is>
          <t>TIMS3</t>
        </is>
      </c>
      <c r="C16" s="28" t="inlineStr">
        <is>
          <t>Telecom</t>
        </is>
      </c>
      <c r="D16" s="29">
        <f>'Inputs — DFs'!Q17</f>
        <v/>
      </c>
      <c r="E16" s="29">
        <f>'Inputs — DFs'!S17</f>
        <v/>
      </c>
      <c r="F16" s="30">
        <f>IF(AND(D16&lt;&gt;"",E16&lt;&gt;""),D16-E16,"")</f>
        <v/>
      </c>
      <c r="G16" s="29">
        <f>'Inputs — DFs'!V17</f>
        <v/>
      </c>
      <c r="H16" s="31">
        <f>IF(AND(G16&lt;&gt;"",((G16)&lt;&gt;0)),F16/G16,"")</f>
        <v/>
      </c>
      <c r="I16" s="32">
        <f>'Inputs — DFs'!Y17</f>
        <v/>
      </c>
      <c r="J16" s="33" t="n"/>
      <c r="K16" s="34" t="n"/>
      <c r="L16" s="35">
        <f>'Inputs — DFs'!Z17</f>
        <v/>
      </c>
      <c r="M16" s="29">
        <f>'Inputs — DFs'!AA17</f>
        <v/>
      </c>
      <c r="N16" s="31">
        <f>IF(AND(M16&lt;&gt;"",((M16)&lt;&gt;0)),E16/M16,"")</f>
        <v/>
      </c>
      <c r="O16" s="36" t="n"/>
      <c r="P16" s="36" t="n"/>
      <c r="Q16" s="36" t="n"/>
      <c r="R16" s="36" t="n"/>
    </row>
    <row r="17" ht="16.5" customHeight="1">
      <c r="A17" s="15" t="inlineStr">
        <is>
          <t>Vamos</t>
        </is>
      </c>
      <c r="B17" s="16" t="inlineStr">
        <is>
          <t>VAMO3</t>
        </is>
      </c>
      <c r="C17" s="17" t="inlineStr">
        <is>
          <t>Locação / Transporte</t>
        </is>
      </c>
      <c r="D17" s="18">
        <f>'Inputs — DFs'!Q18</f>
        <v/>
      </c>
      <c r="E17" s="18">
        <f>'Inputs — DFs'!S18</f>
        <v/>
      </c>
      <c r="F17" s="19">
        <f>IF(AND(D17&lt;&gt;"",E17&lt;&gt;""),D17-E17,"")</f>
        <v/>
      </c>
      <c r="G17" s="18">
        <f>'Inputs — DFs'!V18</f>
        <v/>
      </c>
      <c r="H17" s="20">
        <f>IF(AND(G17&lt;&gt;"",((G17)&lt;&gt;0)),F17/G17,"")</f>
        <v/>
      </c>
      <c r="I17" s="21">
        <f>'Inputs — DFs'!Y18</f>
        <v/>
      </c>
      <c r="J17" s="22" t="n"/>
      <c r="K17" s="23" t="n"/>
      <c r="L17" s="24">
        <f>'Inputs — DFs'!Z18</f>
        <v/>
      </c>
      <c r="M17" s="18">
        <f>'Inputs — DFs'!AA18</f>
        <v/>
      </c>
      <c r="N17" s="20">
        <f>IF(AND(M17&lt;&gt;"",((M17)&lt;&gt;0)),E17/M17,"")</f>
        <v/>
      </c>
      <c r="O17" s="25" t="n"/>
      <c r="P17" s="25" t="n"/>
      <c r="Q17" s="25" t="n"/>
      <c r="R17" s="25" t="n"/>
    </row>
    <row r="18" ht="16.5" customHeight="1">
      <c r="A18" s="26" t="inlineStr">
        <is>
          <t>Movida</t>
        </is>
      </c>
      <c r="B18" s="27" t="inlineStr">
        <is>
          <t>MOVI3</t>
        </is>
      </c>
      <c r="C18" s="28" t="inlineStr">
        <is>
          <t>Locação / Transporte</t>
        </is>
      </c>
      <c r="D18" s="29">
        <f>'Inputs — DFs'!Q19</f>
        <v/>
      </c>
      <c r="E18" s="29">
        <f>'Inputs — DFs'!S19</f>
        <v/>
      </c>
      <c r="F18" s="30">
        <f>IF(AND(D18&lt;&gt;"",E18&lt;&gt;""),D18-E18,"")</f>
        <v/>
      </c>
      <c r="G18" s="29">
        <f>'Inputs — DFs'!V19</f>
        <v/>
      </c>
      <c r="H18" s="31">
        <f>IF(AND(G18&lt;&gt;"",((G18)&lt;&gt;0)),F18/G18,"")</f>
        <v/>
      </c>
      <c r="I18" s="32">
        <f>'Inputs — DFs'!Y19</f>
        <v/>
      </c>
      <c r="J18" s="33" t="n"/>
      <c r="K18" s="34" t="n"/>
      <c r="L18" s="35">
        <f>'Inputs — DFs'!Z19</f>
        <v/>
      </c>
      <c r="M18" s="29">
        <f>'Inputs — DFs'!AA19</f>
        <v/>
      </c>
      <c r="N18" s="31">
        <f>IF(AND(M18&lt;&gt;"",((M18)&lt;&gt;0)),E18/M18,"")</f>
        <v/>
      </c>
      <c r="O18" s="36" t="n"/>
      <c r="P18" s="36" t="n"/>
      <c r="Q18" s="36" t="n"/>
      <c r="R18" s="36" t="n"/>
    </row>
    <row r="19" ht="16.5" customHeight="1">
      <c r="A19" s="15" t="inlineStr">
        <is>
          <t>JSL</t>
        </is>
      </c>
      <c r="B19" s="16" t="inlineStr">
        <is>
          <t>JSLG3</t>
        </is>
      </c>
      <c r="C19" s="17" t="inlineStr">
        <is>
          <t>Logística</t>
        </is>
      </c>
      <c r="D19" s="18">
        <f>'Inputs — DFs'!Q20</f>
        <v/>
      </c>
      <c r="E19" s="18">
        <f>'Inputs — DFs'!S20</f>
        <v/>
      </c>
      <c r="F19" s="19">
        <f>IF(AND(D19&lt;&gt;"",E19&lt;&gt;""),D19-E19,"")</f>
        <v/>
      </c>
      <c r="G19" s="18">
        <f>'Inputs — DFs'!V20</f>
        <v/>
      </c>
      <c r="H19" s="20">
        <f>IF(AND(G19&lt;&gt;"",((G19)&lt;&gt;0)),F19/G19,"")</f>
        <v/>
      </c>
      <c r="I19" s="21">
        <f>'Inputs — DFs'!Y20</f>
        <v/>
      </c>
      <c r="J19" s="22" t="n"/>
      <c r="K19" s="23" t="n"/>
      <c r="L19" s="24">
        <f>'Inputs — DFs'!Z20</f>
        <v/>
      </c>
      <c r="M19" s="18">
        <f>'Inputs — DFs'!AA20</f>
        <v/>
      </c>
      <c r="N19" s="20">
        <f>IF(AND(M19&lt;&gt;"",((M19)&lt;&gt;0)),E19/M19,"")</f>
        <v/>
      </c>
      <c r="O19" s="25" t="n"/>
      <c r="P19" s="25" t="n"/>
      <c r="Q19" s="25" t="n"/>
      <c r="R19" s="25" t="n"/>
    </row>
    <row r="20" ht="16.5" customHeight="1">
      <c r="A20" s="26" t="inlineStr">
        <is>
          <t>Ecorodovias</t>
        </is>
      </c>
      <c r="B20" s="27" t="inlineStr">
        <is>
          <t>ECOR3</t>
        </is>
      </c>
      <c r="C20" s="28" t="inlineStr">
        <is>
          <t>Infraestrutura / Rodov.</t>
        </is>
      </c>
      <c r="D20" s="29">
        <f>'Inputs — DFs'!Q21</f>
        <v/>
      </c>
      <c r="E20" s="29">
        <f>'Inputs — DFs'!S21</f>
        <v/>
      </c>
      <c r="F20" s="30">
        <f>IF(AND(D20&lt;&gt;"",E20&lt;&gt;""),D20-E20,"")</f>
        <v/>
      </c>
      <c r="G20" s="29">
        <f>'Inputs — DFs'!V21</f>
        <v/>
      </c>
      <c r="H20" s="31">
        <f>IF(AND(G20&lt;&gt;"",((G20)&lt;&gt;0)),F20/G20,"")</f>
        <v/>
      </c>
      <c r="I20" s="32">
        <f>'Inputs — DFs'!Y21</f>
        <v/>
      </c>
      <c r="J20" s="33" t="n"/>
      <c r="K20" s="34" t="n"/>
      <c r="L20" s="35">
        <f>'Inputs — DFs'!Z21</f>
        <v/>
      </c>
      <c r="M20" s="29">
        <f>'Inputs — DFs'!AA21</f>
        <v/>
      </c>
      <c r="N20" s="31">
        <f>IF(AND(M20&lt;&gt;"",((M20)&lt;&gt;0)),E20/M20,"")</f>
        <v/>
      </c>
      <c r="O20" s="36" t="n"/>
      <c r="P20" s="36" t="n"/>
      <c r="Q20" s="36" t="n"/>
      <c r="R20" s="36" t="n"/>
    </row>
    <row r="21" ht="16.5" customHeight="1">
      <c r="A21" s="15" t="inlineStr">
        <is>
          <t>Santos Brasil</t>
        </is>
      </c>
      <c r="B21" s="16" t="inlineStr">
        <is>
          <t>STBP3</t>
        </is>
      </c>
      <c r="C21" s="17" t="inlineStr">
        <is>
          <t>Porto / Logística</t>
        </is>
      </c>
      <c r="D21" s="18">
        <f>'Inputs — DFs'!Q22</f>
        <v/>
      </c>
      <c r="E21" s="18">
        <f>'Inputs — DFs'!S22</f>
        <v/>
      </c>
      <c r="F21" s="19">
        <f>IF(AND(D21&lt;&gt;"",E21&lt;&gt;""),D21-E21,"")</f>
        <v/>
      </c>
      <c r="G21" s="18">
        <f>'Inputs — DFs'!V22</f>
        <v/>
      </c>
      <c r="H21" s="20">
        <f>IF(AND(G21&lt;&gt;"",((G21)&lt;&gt;0)),F21/G21,"")</f>
        <v/>
      </c>
      <c r="I21" s="21">
        <f>'Inputs — DFs'!Y22</f>
        <v/>
      </c>
      <c r="J21" s="22" t="n"/>
      <c r="K21" s="23" t="n"/>
      <c r="L21" s="24">
        <f>'Inputs — DFs'!Z22</f>
        <v/>
      </c>
      <c r="M21" s="18">
        <f>'Inputs — DFs'!AA22</f>
        <v/>
      </c>
      <c r="N21" s="20">
        <f>IF(AND(M21&lt;&gt;"",((M21)&lt;&gt;0)),E21/M21,"")</f>
        <v/>
      </c>
      <c r="O21" s="25" t="n"/>
      <c r="P21" s="25" t="n"/>
      <c r="Q21" s="25" t="n"/>
      <c r="R21" s="25" t="n"/>
    </row>
    <row r="22" ht="16.5" customHeight="1">
      <c r="A22" s="26" t="inlineStr">
        <is>
          <t>Copasa</t>
        </is>
      </c>
      <c r="B22" s="27" t="inlineStr">
        <is>
          <t>CSMG3</t>
        </is>
      </c>
      <c r="C22" s="28" t="inlineStr">
        <is>
          <t>Saneamento</t>
        </is>
      </c>
      <c r="D22" s="29">
        <f>'Inputs — DFs'!Q23</f>
        <v/>
      </c>
      <c r="E22" s="29">
        <f>'Inputs — DFs'!S23</f>
        <v/>
      </c>
      <c r="F22" s="30">
        <f>IF(AND(D22&lt;&gt;"",E22&lt;&gt;""),D22-E22,"")</f>
        <v/>
      </c>
      <c r="G22" s="29">
        <f>'Inputs — DFs'!V23</f>
        <v/>
      </c>
      <c r="H22" s="31">
        <f>IF(AND(G22&lt;&gt;"",((G22)&lt;&gt;0)),F22/G22,"")</f>
        <v/>
      </c>
      <c r="I22" s="32">
        <f>'Inputs — DFs'!Y23</f>
        <v/>
      </c>
      <c r="J22" s="33" t="n"/>
      <c r="K22" s="34" t="n"/>
      <c r="L22" s="35">
        <f>'Inputs — DFs'!Z23</f>
        <v/>
      </c>
      <c r="M22" s="29">
        <f>'Inputs — DFs'!AA23</f>
        <v/>
      </c>
      <c r="N22" s="31">
        <f>IF(AND(M22&lt;&gt;"",((M22)&lt;&gt;0)),E22/M22,"")</f>
        <v/>
      </c>
      <c r="O22" s="36" t="n"/>
      <c r="P22" s="36" t="n"/>
      <c r="Q22" s="36" t="n"/>
      <c r="R22" s="36" t="n"/>
    </row>
    <row r="23" ht="16.5" customHeight="1">
      <c r="A23" s="15" t="inlineStr">
        <is>
          <t>Sanepar</t>
        </is>
      </c>
      <c r="B23" s="16" t="inlineStr">
        <is>
          <t>SAPR11</t>
        </is>
      </c>
      <c r="C23" s="17" t="inlineStr">
        <is>
          <t>Saneamento</t>
        </is>
      </c>
      <c r="D23" s="18">
        <f>'Inputs — DFs'!Q24</f>
        <v/>
      </c>
      <c r="E23" s="18">
        <f>'Inputs — DFs'!S24</f>
        <v/>
      </c>
      <c r="F23" s="19">
        <f>IF(AND(D23&lt;&gt;"",E23&lt;&gt;""),D23-E23,"")</f>
        <v/>
      </c>
      <c r="G23" s="18">
        <f>'Inputs — DFs'!V24</f>
        <v/>
      </c>
      <c r="H23" s="20">
        <f>IF(AND(G23&lt;&gt;"",((G23)&lt;&gt;0)),F23/G23,"")</f>
        <v/>
      </c>
      <c r="I23" s="21">
        <f>'Inputs — DFs'!Y24</f>
        <v/>
      </c>
      <c r="J23" s="22" t="n"/>
      <c r="K23" s="23" t="n"/>
      <c r="L23" s="24">
        <f>'Inputs — DFs'!Z24</f>
        <v/>
      </c>
      <c r="M23" s="18">
        <f>'Inputs — DFs'!AA24</f>
        <v/>
      </c>
      <c r="N23" s="20">
        <f>IF(AND(M23&lt;&gt;"",((M23)&lt;&gt;0)),E23/M23,"")</f>
        <v/>
      </c>
      <c r="O23" s="25" t="n"/>
      <c r="P23" s="25" t="n"/>
      <c r="Q23" s="25" t="n"/>
      <c r="R23" s="25" t="n"/>
    </row>
    <row r="24" ht="16.5" customHeight="1">
      <c r="A24" s="26" t="inlineStr">
        <is>
          <t>Saneago</t>
        </is>
      </c>
      <c r="B24" s="27" t="inlineStr">
        <is>
          <t>SAAG4</t>
        </is>
      </c>
      <c r="C24" s="28" t="inlineStr">
        <is>
          <t>Saneamento</t>
        </is>
      </c>
      <c r="D24" s="29">
        <f>'Inputs — DFs'!Q25</f>
        <v/>
      </c>
      <c r="E24" s="29">
        <f>'Inputs — DFs'!S25</f>
        <v/>
      </c>
      <c r="F24" s="30">
        <f>IF(AND(D24&lt;&gt;"",E24&lt;&gt;""),D24-E24,"")</f>
        <v/>
      </c>
      <c r="G24" s="29">
        <f>'Inputs — DFs'!V25</f>
        <v/>
      </c>
      <c r="H24" s="31">
        <f>IF(AND(G24&lt;&gt;"",((G24)&lt;&gt;0)),F24/G24,"")</f>
        <v/>
      </c>
      <c r="I24" s="32">
        <f>'Inputs — DFs'!Y25</f>
        <v/>
      </c>
      <c r="J24" s="33" t="n"/>
      <c r="K24" s="34" t="n"/>
      <c r="L24" s="35">
        <f>'Inputs — DFs'!Z25</f>
        <v/>
      </c>
      <c r="M24" s="29">
        <f>'Inputs — DFs'!AA25</f>
        <v/>
      </c>
      <c r="N24" s="31">
        <f>IF(AND(M24&lt;&gt;"",((M24)&lt;&gt;0)),E24/M24,"")</f>
        <v/>
      </c>
      <c r="O24" s="36" t="n"/>
      <c r="P24" s="36" t="n"/>
      <c r="Q24" s="36" t="n"/>
      <c r="R24" s="36" t="n"/>
    </row>
    <row r="25" ht="16.5" customHeight="1">
      <c r="A25" s="15" t="inlineStr">
        <is>
          <t>Vix</t>
        </is>
      </c>
      <c r="B25" s="16" t="inlineStr">
        <is>
          <t>VIIA3</t>
        </is>
      </c>
      <c r="C25" s="17" t="inlineStr">
        <is>
          <t>Logística / Transporte</t>
        </is>
      </c>
      <c r="D25" s="18">
        <f>'Inputs — DFs'!Q26</f>
        <v/>
      </c>
      <c r="E25" s="18">
        <f>'Inputs — DFs'!S26</f>
        <v/>
      </c>
      <c r="F25" s="19">
        <f>IF(AND(D25&lt;&gt;"",E25&lt;&gt;""),D25-E25,"")</f>
        <v/>
      </c>
      <c r="G25" s="18">
        <f>'Inputs — DFs'!V26</f>
        <v/>
      </c>
      <c r="H25" s="20">
        <f>IF(AND(G25&lt;&gt;"",((G25)&lt;&gt;0)),F25/G25,"")</f>
        <v/>
      </c>
      <c r="I25" s="21">
        <f>'Inputs — DFs'!Y26</f>
        <v/>
      </c>
      <c r="J25" s="22" t="n"/>
      <c r="K25" s="23" t="n"/>
      <c r="L25" s="24">
        <f>'Inputs — DFs'!Z26</f>
        <v/>
      </c>
      <c r="M25" s="18">
        <f>'Inputs — DFs'!AA26</f>
        <v/>
      </c>
      <c r="N25" s="20">
        <f>IF(AND(M25&lt;&gt;"",((M25)&lt;&gt;0)),E25/M25,"")</f>
        <v/>
      </c>
      <c r="O25" s="25" t="n"/>
      <c r="P25" s="25" t="n"/>
      <c r="Q25" s="25" t="n"/>
      <c r="R25" s="25" t="n"/>
    </row>
    <row r="26" ht="16.5" customHeight="1">
      <c r="A26" s="26" t="inlineStr">
        <is>
          <t>Armac</t>
        </is>
      </c>
      <c r="B26" s="27" t="inlineStr">
        <is>
          <t>ARML3</t>
        </is>
      </c>
      <c r="C26" s="28" t="inlineStr">
        <is>
          <t>Locação</t>
        </is>
      </c>
      <c r="D26" s="29">
        <f>'Inputs — DFs'!Q27</f>
        <v/>
      </c>
      <c r="E26" s="29">
        <f>'Inputs — DFs'!S27</f>
        <v/>
      </c>
      <c r="F26" s="30">
        <f>IF(AND(D26&lt;&gt;"",E26&lt;&gt;""),D26-E26,"")</f>
        <v/>
      </c>
      <c r="G26" s="29">
        <f>'Inputs — DFs'!V27</f>
        <v/>
      </c>
      <c r="H26" s="31">
        <f>IF(AND(G26&lt;&gt;"",((G26)&lt;&gt;0)),F26/G26,"")</f>
        <v/>
      </c>
      <c r="I26" s="32">
        <f>'Inputs — DFs'!Y27</f>
        <v/>
      </c>
      <c r="J26" s="33" t="n"/>
      <c r="K26" s="34" t="n"/>
      <c r="L26" s="35">
        <f>'Inputs — DFs'!Z27</f>
        <v/>
      </c>
      <c r="M26" s="29">
        <f>'Inputs — DFs'!AA27</f>
        <v/>
      </c>
      <c r="N26" s="31">
        <f>IF(AND(M26&lt;&gt;"",((M26)&lt;&gt;0)),E26/M26,"")</f>
        <v/>
      </c>
      <c r="O26" s="36" t="n"/>
      <c r="P26" s="36" t="n"/>
      <c r="Q26" s="36" t="n"/>
      <c r="R26" s="36" t="n"/>
    </row>
    <row r="27" ht="16.5" customHeight="1">
      <c r="A27" s="15" t="inlineStr">
        <is>
          <t>Unidas</t>
        </is>
      </c>
      <c r="B27" s="16" t="inlineStr">
        <is>
          <t>LCAM3</t>
        </is>
      </c>
      <c r="C27" s="17" t="inlineStr">
        <is>
          <t>Locação</t>
        </is>
      </c>
      <c r="D27" s="18">
        <f>'Inputs — DFs'!Q28</f>
        <v/>
      </c>
      <c r="E27" s="18">
        <f>'Inputs — DFs'!S28</f>
        <v/>
      </c>
      <c r="F27" s="19">
        <f>IF(AND(D27&lt;&gt;"",E27&lt;&gt;""),D27-E27,"")</f>
        <v/>
      </c>
      <c r="G27" s="18">
        <f>'Inputs — DFs'!V28</f>
        <v/>
      </c>
      <c r="H27" s="20">
        <f>IF(AND(G27&lt;&gt;"",((G27)&lt;&gt;0)),F27/G27,"")</f>
        <v/>
      </c>
      <c r="I27" s="21">
        <f>'Inputs — DFs'!Y28</f>
        <v/>
      </c>
      <c r="J27" s="22" t="n"/>
      <c r="K27" s="23" t="n"/>
      <c r="L27" s="24">
        <f>'Inputs — DFs'!Z28</f>
        <v/>
      </c>
      <c r="M27" s="18">
        <f>'Inputs — DFs'!AA28</f>
        <v/>
      </c>
      <c r="N27" s="20">
        <f>IF(AND(M27&lt;&gt;"",((M27)&lt;&gt;0)),E27/M27,"")</f>
        <v/>
      </c>
      <c r="O27" s="25" t="n"/>
      <c r="P27" s="25" t="n"/>
      <c r="Q27" s="25" t="n"/>
      <c r="R27" s="25" t="n"/>
    </row>
    <row r="28" ht="16.5" customHeight="1">
      <c r="A28" s="26" t="inlineStr">
        <is>
          <t>Mills</t>
        </is>
      </c>
      <c r="B28" s="27" t="inlineStr">
        <is>
          <t>MILS3</t>
        </is>
      </c>
      <c r="C28" s="28" t="inlineStr">
        <is>
          <t>Locação / Indústria</t>
        </is>
      </c>
      <c r="D28" s="29">
        <f>'Inputs — DFs'!Q29</f>
        <v/>
      </c>
      <c r="E28" s="29">
        <f>'Inputs — DFs'!S29</f>
        <v/>
      </c>
      <c r="F28" s="30">
        <f>IF(AND(D28&lt;&gt;"",E28&lt;&gt;""),D28-E28,"")</f>
        <v/>
      </c>
      <c r="G28" s="29">
        <f>'Inputs — DFs'!V29</f>
        <v/>
      </c>
      <c r="H28" s="31">
        <f>IF(AND(G28&lt;&gt;"",((G28)&lt;&gt;0)),F28/G28,"")</f>
        <v/>
      </c>
      <c r="I28" s="32">
        <f>'Inputs — DFs'!Y29</f>
        <v/>
      </c>
      <c r="J28" s="33" t="n"/>
      <c r="K28" s="34" t="n"/>
      <c r="L28" s="35">
        <f>'Inputs — DFs'!Z29</f>
        <v/>
      </c>
      <c r="M28" s="29">
        <f>'Inputs — DFs'!AA29</f>
        <v/>
      </c>
      <c r="N28" s="31">
        <f>IF(AND(M28&lt;&gt;"",((M28)&lt;&gt;0)),E28/M28,"")</f>
        <v/>
      </c>
      <c r="O28" s="36" t="n"/>
      <c r="P28" s="36" t="n"/>
      <c r="Q28" s="36" t="n"/>
      <c r="R28" s="36" t="n"/>
    </row>
    <row r="29" ht="16.5" customHeight="1">
      <c r="A29" s="15" t="inlineStr">
        <is>
          <t>Priner</t>
        </is>
      </c>
      <c r="B29" s="16" t="inlineStr">
        <is>
          <t>PRNR3</t>
        </is>
      </c>
      <c r="C29" s="17" t="inlineStr">
        <is>
          <t>Serviços Industriais</t>
        </is>
      </c>
      <c r="D29" s="18">
        <f>'Inputs — DFs'!Q30</f>
        <v/>
      </c>
      <c r="E29" s="18">
        <f>'Inputs — DFs'!S30</f>
        <v/>
      </c>
      <c r="F29" s="19">
        <f>IF(AND(D29&lt;&gt;"",E29&lt;&gt;""),D29-E29,"")</f>
        <v/>
      </c>
      <c r="G29" s="18">
        <f>'Inputs — DFs'!V30</f>
        <v/>
      </c>
      <c r="H29" s="20">
        <f>IF(AND(G29&lt;&gt;"",((G29)&lt;&gt;0)),F29/G29,"")</f>
        <v/>
      </c>
      <c r="I29" s="21">
        <f>'Inputs — DFs'!Y30</f>
        <v/>
      </c>
      <c r="J29" s="22" t="n"/>
      <c r="K29" s="23" t="n"/>
      <c r="L29" s="24">
        <f>'Inputs — DFs'!Z30</f>
        <v/>
      </c>
      <c r="M29" s="18">
        <f>'Inputs — DFs'!AA30</f>
        <v/>
      </c>
      <c r="N29" s="20">
        <f>IF(AND(M29&lt;&gt;"",((M29)&lt;&gt;0)),E29/M29,"")</f>
        <v/>
      </c>
      <c r="O29" s="25" t="n"/>
      <c r="P29" s="25" t="n"/>
      <c r="Q29" s="25" t="n"/>
      <c r="R29" s="25" t="n"/>
    </row>
    <row r="30" ht="16.5" customHeight="1">
      <c r="A30" s="26" t="inlineStr">
        <is>
          <t>Aura Minerals</t>
        </is>
      </c>
      <c r="B30" s="27" t="inlineStr">
        <is>
          <t>AURA33</t>
        </is>
      </c>
      <c r="C30" s="28" t="inlineStr">
        <is>
          <t>Mineração</t>
        </is>
      </c>
      <c r="D30" s="29">
        <f>'Inputs — DFs'!Q31</f>
        <v/>
      </c>
      <c r="E30" s="29">
        <f>'Inputs — DFs'!S31</f>
        <v/>
      </c>
      <c r="F30" s="30">
        <f>IF(AND(D30&lt;&gt;"",E30&lt;&gt;""),D30-E30,"")</f>
        <v/>
      </c>
      <c r="G30" s="29">
        <f>'Inputs — DFs'!V31</f>
        <v/>
      </c>
      <c r="H30" s="31">
        <f>IF(AND(G30&lt;&gt;"",((G30)&lt;&gt;0)),F30/G30,"")</f>
        <v/>
      </c>
      <c r="I30" s="32">
        <f>'Inputs — DFs'!Y31</f>
        <v/>
      </c>
      <c r="J30" s="33" t="n"/>
      <c r="K30" s="34" t="n"/>
      <c r="L30" s="35">
        <f>'Inputs — DFs'!Z31</f>
        <v/>
      </c>
      <c r="M30" s="29">
        <f>'Inputs — DFs'!AA31</f>
        <v/>
      </c>
      <c r="N30" s="31">
        <f>IF(AND(M30&lt;&gt;"",((M30)&lt;&gt;0)),E30/M30,"")</f>
        <v/>
      </c>
      <c r="O30" s="36" t="n"/>
      <c r="P30" s="36" t="n"/>
      <c r="Q30" s="36" t="n"/>
      <c r="R30" s="36" t="n"/>
    </row>
    <row r="31" ht="16.5" customHeight="1">
      <c r="A31" s="15" t="inlineStr">
        <is>
          <t>Vale</t>
        </is>
      </c>
      <c r="B31" s="16" t="inlineStr">
        <is>
          <t>VALE3</t>
        </is>
      </c>
      <c r="C31" s="17" t="inlineStr">
        <is>
          <t>Mineração</t>
        </is>
      </c>
      <c r="D31" s="18">
        <f>'Inputs — DFs'!Q32</f>
        <v/>
      </c>
      <c r="E31" s="18">
        <f>'Inputs — DFs'!S32</f>
        <v/>
      </c>
      <c r="F31" s="19">
        <f>IF(AND(D31&lt;&gt;"",E31&lt;&gt;""),D31-E31,"")</f>
        <v/>
      </c>
      <c r="G31" s="18">
        <f>'Inputs — DFs'!V32</f>
        <v/>
      </c>
      <c r="H31" s="20">
        <f>IF(AND(G31&lt;&gt;"",((G31)&lt;&gt;0)),F31/G31,"")</f>
        <v/>
      </c>
      <c r="I31" s="21">
        <f>'Inputs — DFs'!Y32</f>
        <v/>
      </c>
      <c r="J31" s="22" t="n"/>
      <c r="K31" s="23" t="n"/>
      <c r="L31" s="24">
        <f>'Inputs — DFs'!Z32</f>
        <v/>
      </c>
      <c r="M31" s="18">
        <f>'Inputs — DFs'!AA32</f>
        <v/>
      </c>
      <c r="N31" s="20">
        <f>IF(AND(M31&lt;&gt;"",((M31)&lt;&gt;0)),E31/M31,"")</f>
        <v/>
      </c>
      <c r="O31" s="25" t="n"/>
      <c r="P31" s="25" t="n"/>
      <c r="Q31" s="25" t="n"/>
      <c r="R31" s="25" t="n"/>
    </row>
    <row r="32" ht="16.5" customHeight="1">
      <c r="A32" s="26" t="inlineStr">
        <is>
          <t>Rede D'Or</t>
        </is>
      </c>
      <c r="B32" s="27" t="inlineStr">
        <is>
          <t>RDOR3</t>
        </is>
      </c>
      <c r="C32" s="28" t="inlineStr">
        <is>
          <t>Saúde</t>
        </is>
      </c>
      <c r="D32" s="29">
        <f>'Inputs — DFs'!Q33</f>
        <v/>
      </c>
      <c r="E32" s="29">
        <f>'Inputs — DFs'!S33</f>
        <v/>
      </c>
      <c r="F32" s="30">
        <f>IF(AND(D32&lt;&gt;"",E32&lt;&gt;""),D32-E32,"")</f>
        <v/>
      </c>
      <c r="G32" s="29">
        <f>'Inputs — DFs'!V33</f>
        <v/>
      </c>
      <c r="H32" s="31">
        <f>IF(AND(G32&lt;&gt;"",((G32)&lt;&gt;0)),F32/G32,"")</f>
        <v/>
      </c>
      <c r="I32" s="32">
        <f>'Inputs — DFs'!Y33</f>
        <v/>
      </c>
      <c r="J32" s="33" t="n"/>
      <c r="K32" s="34" t="n"/>
      <c r="L32" s="35">
        <f>'Inputs — DFs'!Z33</f>
        <v/>
      </c>
      <c r="M32" s="29">
        <f>'Inputs — DFs'!AA33</f>
        <v/>
      </c>
      <c r="N32" s="31">
        <f>IF(AND(M32&lt;&gt;"",((M32)&lt;&gt;0)),E32/M32,"")</f>
        <v/>
      </c>
      <c r="O32" s="36" t="n"/>
      <c r="P32" s="36" t="n"/>
      <c r="Q32" s="36" t="n"/>
      <c r="R32" s="36" t="n"/>
    </row>
    <row r="33" ht="16.5" customHeight="1">
      <c r="A33" s="15" t="inlineStr">
        <is>
          <t>GSH</t>
        </is>
      </c>
      <c r="B33" s="16" t="inlineStr">
        <is>
          <t>GSAU3</t>
        </is>
      </c>
      <c r="C33" s="17" t="inlineStr">
        <is>
          <t>Saúde</t>
        </is>
      </c>
      <c r="D33" s="18">
        <f>'Inputs — DFs'!Q34</f>
        <v/>
      </c>
      <c r="E33" s="18">
        <f>'Inputs — DFs'!S34</f>
        <v/>
      </c>
      <c r="F33" s="19">
        <f>IF(AND(D33&lt;&gt;"",E33&lt;&gt;""),D33-E33,"")</f>
        <v/>
      </c>
      <c r="G33" s="18">
        <f>'Inputs — DFs'!V34</f>
        <v/>
      </c>
      <c r="H33" s="20">
        <f>IF(AND(G33&lt;&gt;"",((G33)&lt;&gt;0)),F33/G33,"")</f>
        <v/>
      </c>
      <c r="I33" s="21">
        <f>'Inputs — DFs'!Y34</f>
        <v/>
      </c>
      <c r="J33" s="22" t="n"/>
      <c r="K33" s="23" t="n"/>
      <c r="L33" s="24">
        <f>'Inputs — DFs'!Z34</f>
        <v/>
      </c>
      <c r="M33" s="18">
        <f>'Inputs — DFs'!AA34</f>
        <v/>
      </c>
      <c r="N33" s="20">
        <f>IF(AND(M33&lt;&gt;"",((M33)&lt;&gt;0)),E33/M33,"")</f>
        <v/>
      </c>
      <c r="O33" s="25" t="n"/>
      <c r="P33" s="25" t="n"/>
      <c r="Q33" s="25" t="n"/>
      <c r="R33" s="25" t="n"/>
    </row>
    <row r="34" ht="16.5" customHeight="1">
      <c r="A34" s="26" t="inlineStr">
        <is>
          <t>Hapvida</t>
        </is>
      </c>
      <c r="B34" s="27" t="inlineStr">
        <is>
          <t>HAPV3</t>
        </is>
      </c>
      <c r="C34" s="28" t="inlineStr">
        <is>
          <t>Saúde</t>
        </is>
      </c>
      <c r="D34" s="29">
        <f>'Inputs — DFs'!Q35</f>
        <v/>
      </c>
      <c r="E34" s="29">
        <f>'Inputs — DFs'!S35</f>
        <v/>
      </c>
      <c r="F34" s="30">
        <f>IF(AND(D34&lt;&gt;"",E34&lt;&gt;""),D34-E34,"")</f>
        <v/>
      </c>
      <c r="G34" s="29">
        <f>'Inputs — DFs'!V35</f>
        <v/>
      </c>
      <c r="H34" s="31">
        <f>IF(AND(G34&lt;&gt;"",((G34)&lt;&gt;0)),F34/G34,"")</f>
        <v/>
      </c>
      <c r="I34" s="32">
        <f>'Inputs — DFs'!Y35</f>
        <v/>
      </c>
      <c r="J34" s="33" t="n"/>
      <c r="K34" s="34" t="n"/>
      <c r="L34" s="35">
        <f>'Inputs — DFs'!Z35</f>
        <v/>
      </c>
      <c r="M34" s="29">
        <f>'Inputs — DFs'!AA35</f>
        <v/>
      </c>
      <c r="N34" s="31">
        <f>IF(AND(M34&lt;&gt;"",((M34)&lt;&gt;0)),E34/M34,"")</f>
        <v/>
      </c>
      <c r="O34" s="36" t="n"/>
      <c r="P34" s="36" t="n"/>
      <c r="Q34" s="36" t="n"/>
      <c r="R34" s="36" t="n"/>
    </row>
    <row r="35" ht="16.5" customHeight="1">
      <c r="A35" s="15" t="inlineStr">
        <is>
          <t>Klabin</t>
        </is>
      </c>
      <c r="B35" s="16" t="inlineStr">
        <is>
          <t>KLBN11</t>
        </is>
      </c>
      <c r="C35" s="17" t="inlineStr">
        <is>
          <t>Papel e Celulose</t>
        </is>
      </c>
      <c r="D35" s="18">
        <f>'Inputs — DFs'!Q36</f>
        <v/>
      </c>
      <c r="E35" s="18">
        <f>'Inputs — DFs'!S36</f>
        <v/>
      </c>
      <c r="F35" s="19">
        <f>IF(AND(D35&lt;&gt;"",E35&lt;&gt;""),D35-E35,"")</f>
        <v/>
      </c>
      <c r="G35" s="18">
        <f>'Inputs — DFs'!V36</f>
        <v/>
      </c>
      <c r="H35" s="20">
        <f>IF(AND(G35&lt;&gt;"",((G35)&lt;&gt;0)),F35/G35,"")</f>
        <v/>
      </c>
      <c r="I35" s="21">
        <f>'Inputs — DFs'!Y36</f>
        <v/>
      </c>
      <c r="J35" s="22" t="n"/>
      <c r="K35" s="23" t="n"/>
      <c r="L35" s="24">
        <f>'Inputs — DFs'!Z36</f>
        <v/>
      </c>
      <c r="M35" s="18">
        <f>'Inputs — DFs'!AA36</f>
        <v/>
      </c>
      <c r="N35" s="20">
        <f>IF(AND(M35&lt;&gt;"",((M35)&lt;&gt;0)),E35/M35,"")</f>
        <v/>
      </c>
      <c r="O35" s="25" t="n"/>
      <c r="P35" s="25" t="n"/>
      <c r="Q35" s="25" t="n"/>
      <c r="R35" s="25" t="n"/>
    </row>
    <row r="36" ht="16.5" customHeight="1">
      <c r="A36" s="26" t="inlineStr">
        <is>
          <t>Unipar</t>
        </is>
      </c>
      <c r="B36" s="27" t="inlineStr">
        <is>
          <t>UNIP6</t>
        </is>
      </c>
      <c r="C36" s="28" t="inlineStr">
        <is>
          <t>Química / Petroquímica</t>
        </is>
      </c>
      <c r="D36" s="29">
        <f>'Inputs — DFs'!Q37</f>
        <v/>
      </c>
      <c r="E36" s="29">
        <f>'Inputs — DFs'!S37</f>
        <v/>
      </c>
      <c r="F36" s="30">
        <f>IF(AND(D36&lt;&gt;"",E36&lt;&gt;""),D36-E36,"")</f>
        <v/>
      </c>
      <c r="G36" s="29">
        <f>'Inputs — DFs'!V37</f>
        <v/>
      </c>
      <c r="H36" s="31">
        <f>IF(AND(G36&lt;&gt;"",((G36)&lt;&gt;0)),F36/G36,"")</f>
        <v/>
      </c>
      <c r="I36" s="32">
        <f>'Inputs — DFs'!Y37</f>
        <v/>
      </c>
      <c r="J36" s="33" t="n"/>
      <c r="K36" s="34" t="n"/>
      <c r="L36" s="35">
        <f>'Inputs — DFs'!Z37</f>
        <v/>
      </c>
      <c r="M36" s="29">
        <f>'Inputs — DFs'!AA37</f>
        <v/>
      </c>
      <c r="N36" s="31">
        <f>IF(AND(M36&lt;&gt;"",((M36)&lt;&gt;0)),E36/M36,"")</f>
        <v/>
      </c>
      <c r="O36" s="36" t="n"/>
      <c r="P36" s="36" t="n"/>
      <c r="Q36" s="36" t="n"/>
      <c r="R36" s="36" t="n"/>
    </row>
    <row r="37" ht="16.5" customHeight="1">
      <c r="A37" s="15" t="inlineStr">
        <is>
          <t>São Martinho</t>
        </is>
      </c>
      <c r="B37" s="16" t="inlineStr">
        <is>
          <t>SMTO3</t>
        </is>
      </c>
      <c r="C37" s="17" t="inlineStr">
        <is>
          <t>Açúcar e Etanol</t>
        </is>
      </c>
      <c r="D37" s="18">
        <f>'Inputs — DFs'!Q38</f>
        <v/>
      </c>
      <c r="E37" s="18">
        <f>'Inputs — DFs'!S38</f>
        <v/>
      </c>
      <c r="F37" s="19">
        <f>IF(AND(D37&lt;&gt;"",E37&lt;&gt;""),D37-E37,"")</f>
        <v/>
      </c>
      <c r="G37" s="18">
        <f>'Inputs — DFs'!V38</f>
        <v/>
      </c>
      <c r="H37" s="20">
        <f>IF(AND(G37&lt;&gt;"",((G37)&lt;&gt;0)),F37/G37,"")</f>
        <v/>
      </c>
      <c r="I37" s="21">
        <f>'Inputs — DFs'!Y38</f>
        <v/>
      </c>
      <c r="J37" s="22" t="n"/>
      <c r="K37" s="23" t="n"/>
      <c r="L37" s="24">
        <f>'Inputs — DFs'!Z38</f>
        <v/>
      </c>
      <c r="M37" s="18">
        <f>'Inputs — DFs'!AA38</f>
        <v/>
      </c>
      <c r="N37" s="20">
        <f>IF(AND(M37&lt;&gt;"",((M37)&lt;&gt;0)),E37/M37,"")</f>
        <v/>
      </c>
      <c r="O37" s="25" t="n"/>
      <c r="P37" s="25" t="n"/>
      <c r="Q37" s="25" t="n"/>
      <c r="R37" s="25" t="n"/>
    </row>
    <row r="38" ht="16.5" customHeight="1">
      <c r="A38" s="26" t="inlineStr">
        <is>
          <t>Adecoagro</t>
        </is>
      </c>
      <c r="B38" s="27" t="inlineStr">
        <is>
          <t>AGRO3</t>
        </is>
      </c>
      <c r="C38" s="28" t="inlineStr">
        <is>
          <t>Agronegócio</t>
        </is>
      </c>
      <c r="D38" s="29">
        <f>'Inputs — DFs'!Q39</f>
        <v/>
      </c>
      <c r="E38" s="29">
        <f>'Inputs — DFs'!S39</f>
        <v/>
      </c>
      <c r="F38" s="30">
        <f>IF(AND(D38&lt;&gt;"",E38&lt;&gt;""),D38-E38,"")</f>
        <v/>
      </c>
      <c r="G38" s="29">
        <f>'Inputs — DFs'!V39</f>
        <v/>
      </c>
      <c r="H38" s="31">
        <f>IF(AND(G38&lt;&gt;"",((G38)&lt;&gt;0)),F38/G38,"")</f>
        <v/>
      </c>
      <c r="I38" s="32">
        <f>'Inputs — DFs'!Y39</f>
        <v/>
      </c>
      <c r="J38" s="33" t="n"/>
      <c r="K38" s="34" t="n"/>
      <c r="L38" s="35">
        <f>'Inputs — DFs'!Z39</f>
        <v/>
      </c>
      <c r="M38" s="29">
        <f>'Inputs — DFs'!AA39</f>
        <v/>
      </c>
      <c r="N38" s="31">
        <f>IF(AND(M38&lt;&gt;"",((M38)&lt;&gt;0)),E38/M38,"")</f>
        <v/>
      </c>
      <c r="O38" s="36" t="n"/>
      <c r="P38" s="36" t="n"/>
      <c r="Q38" s="36" t="n"/>
      <c r="R38" s="36" t="n"/>
    </row>
    <row r="39" ht="16.5" customHeight="1">
      <c r="A39" s="15" t="inlineStr">
        <is>
          <t>BRF</t>
        </is>
      </c>
      <c r="B39" s="16" t="inlineStr">
        <is>
          <t>BRFS3</t>
        </is>
      </c>
      <c r="C39" s="17" t="inlineStr">
        <is>
          <t>Alimentos</t>
        </is>
      </c>
      <c r="D39" s="18">
        <f>'Inputs — DFs'!Q40</f>
        <v/>
      </c>
      <c r="E39" s="18">
        <f>'Inputs — DFs'!S40</f>
        <v/>
      </c>
      <c r="F39" s="19">
        <f>IF(AND(D39&lt;&gt;"",E39&lt;&gt;""),D39-E39,"")</f>
        <v/>
      </c>
      <c r="G39" s="18">
        <f>'Inputs — DFs'!V40</f>
        <v/>
      </c>
      <c r="H39" s="20">
        <f>IF(AND(G39&lt;&gt;"",((G39)&lt;&gt;0)),F39/G39,"")</f>
        <v/>
      </c>
      <c r="I39" s="21">
        <f>'Inputs — DFs'!Y40</f>
        <v/>
      </c>
      <c r="J39" s="22" t="n"/>
      <c r="K39" s="23" t="n"/>
      <c r="L39" s="24">
        <f>'Inputs — DFs'!Z40</f>
        <v/>
      </c>
      <c r="M39" s="18">
        <f>'Inputs — DFs'!AA40</f>
        <v/>
      </c>
      <c r="N39" s="20">
        <f>IF(AND(M39&lt;&gt;"",((M39)&lt;&gt;0)),E39/M39,"")</f>
        <v/>
      </c>
      <c r="O39" s="25" t="n"/>
      <c r="P39" s="25" t="n"/>
      <c r="Q39" s="25" t="n"/>
      <c r="R39" s="25" t="n"/>
    </row>
    <row r="40" ht="16.5" customHeight="1">
      <c r="A40" s="26" t="inlineStr">
        <is>
          <t>Ânima</t>
        </is>
      </c>
      <c r="B40" s="27" t="inlineStr">
        <is>
          <t>ANIM3</t>
        </is>
      </c>
      <c r="C40" s="28" t="inlineStr">
        <is>
          <t>Educação</t>
        </is>
      </c>
      <c r="D40" s="29">
        <f>'Inputs — DFs'!Q41</f>
        <v/>
      </c>
      <c r="E40" s="29">
        <f>'Inputs — DFs'!S41</f>
        <v/>
      </c>
      <c r="F40" s="30">
        <f>IF(AND(D40&lt;&gt;"",E40&lt;&gt;""),D40-E40,"")</f>
        <v/>
      </c>
      <c r="G40" s="29">
        <f>'Inputs — DFs'!V41</f>
        <v/>
      </c>
      <c r="H40" s="31">
        <f>IF(AND(G40&lt;&gt;"",((G40)&lt;&gt;0)),F40/G40,"")</f>
        <v/>
      </c>
      <c r="I40" s="32">
        <f>'Inputs — DFs'!Y41</f>
        <v/>
      </c>
      <c r="J40" s="33" t="n"/>
      <c r="K40" s="34" t="n"/>
      <c r="L40" s="35">
        <f>'Inputs — DFs'!Z41</f>
        <v/>
      </c>
      <c r="M40" s="29">
        <f>'Inputs — DFs'!AA41</f>
        <v/>
      </c>
      <c r="N40" s="31">
        <f>IF(AND(M40&lt;&gt;"",((M40)&lt;&gt;0)),E40/M40,"")</f>
        <v/>
      </c>
      <c r="O40" s="36" t="n"/>
      <c r="P40" s="36" t="n"/>
      <c r="Q40" s="36" t="n"/>
      <c r="R40" s="36" t="n"/>
    </row>
    <row r="41" ht="16.5" customHeight="1">
      <c r="A41" s="15" t="inlineStr">
        <is>
          <t>Inspiralli</t>
        </is>
      </c>
      <c r="B41" s="16" t="inlineStr">
        <is>
          <t>INSP3</t>
        </is>
      </c>
      <c r="C41" s="17" t="inlineStr">
        <is>
          <t>Educação</t>
        </is>
      </c>
      <c r="D41" s="18">
        <f>'Inputs — DFs'!Q42</f>
        <v/>
      </c>
      <c r="E41" s="18">
        <f>'Inputs — DFs'!S42</f>
        <v/>
      </c>
      <c r="F41" s="19">
        <f>IF(AND(D41&lt;&gt;"",E41&lt;&gt;""),D41-E41,"")</f>
        <v/>
      </c>
      <c r="G41" s="18">
        <f>'Inputs — DFs'!V42</f>
        <v/>
      </c>
      <c r="H41" s="20">
        <f>IF(AND(G41&lt;&gt;"",((G41)&lt;&gt;0)),F41/G41,"")</f>
        <v/>
      </c>
      <c r="I41" s="21">
        <f>'Inputs — DFs'!Y42</f>
        <v/>
      </c>
      <c r="J41" s="22" t="n"/>
      <c r="K41" s="23" t="n"/>
      <c r="L41" s="24">
        <f>'Inputs — DFs'!Z42</f>
        <v/>
      </c>
      <c r="M41" s="18">
        <f>'Inputs — DFs'!AA42</f>
        <v/>
      </c>
      <c r="N41" s="20">
        <f>IF(AND(M41&lt;&gt;"",((M41)&lt;&gt;0)),E41/M41,"")</f>
        <v/>
      </c>
      <c r="O41" s="25" t="n"/>
      <c r="P41" s="25" t="n"/>
      <c r="Q41" s="25" t="n"/>
      <c r="R41" s="25" t="n"/>
    </row>
    <row r="42" ht="16.5" customHeight="1">
      <c r="A42" s="26" t="inlineStr">
        <is>
          <t>Yduqs</t>
        </is>
      </c>
      <c r="B42" s="27" t="inlineStr">
        <is>
          <t>YDUQ3</t>
        </is>
      </c>
      <c r="C42" s="28" t="inlineStr">
        <is>
          <t>Educação</t>
        </is>
      </c>
      <c r="D42" s="29">
        <f>'Inputs — DFs'!Q43</f>
        <v/>
      </c>
      <c r="E42" s="29">
        <f>'Inputs — DFs'!S43</f>
        <v/>
      </c>
      <c r="F42" s="30">
        <f>IF(AND(D42&lt;&gt;"",E42&lt;&gt;""),D42-E42,"")</f>
        <v/>
      </c>
      <c r="G42" s="29">
        <f>'Inputs — DFs'!V43</f>
        <v/>
      </c>
      <c r="H42" s="31">
        <f>IF(AND(G42&lt;&gt;"",((G42)&lt;&gt;0)),F42/G42,"")</f>
        <v/>
      </c>
      <c r="I42" s="32">
        <f>'Inputs — DFs'!Y43</f>
        <v/>
      </c>
      <c r="J42" s="33" t="n"/>
      <c r="K42" s="34" t="n"/>
      <c r="L42" s="35">
        <f>'Inputs — DFs'!Z43</f>
        <v/>
      </c>
      <c r="M42" s="29">
        <f>'Inputs — DFs'!AA43</f>
        <v/>
      </c>
      <c r="N42" s="31">
        <f>IF(AND(M42&lt;&gt;"",((M42)&lt;&gt;0)),E42/M42,"")</f>
        <v/>
      </c>
      <c r="O42" s="36" t="n"/>
      <c r="P42" s="36" t="n"/>
      <c r="Q42" s="36" t="n"/>
      <c r="R42" s="36" t="n"/>
    </row>
    <row r="43" ht="16.5" customHeight="1">
      <c r="A43" s="15" t="inlineStr">
        <is>
          <t>Afya</t>
        </is>
      </c>
      <c r="B43" s="16" t="inlineStr">
        <is>
          <t>AFYA3</t>
        </is>
      </c>
      <c r="C43" s="17" t="inlineStr">
        <is>
          <t>Educação Médica</t>
        </is>
      </c>
      <c r="D43" s="18">
        <f>'Inputs — DFs'!Q44</f>
        <v/>
      </c>
      <c r="E43" s="18">
        <f>'Inputs — DFs'!S44</f>
        <v/>
      </c>
      <c r="F43" s="19">
        <f>IF(AND(D43&lt;&gt;"",E43&lt;&gt;""),D43-E43,"")</f>
        <v/>
      </c>
      <c r="G43" s="18">
        <f>'Inputs — DFs'!V44</f>
        <v/>
      </c>
      <c r="H43" s="20">
        <f>IF(AND(G43&lt;&gt;"",((G43)&lt;&gt;0)),F43/G43,"")</f>
        <v/>
      </c>
      <c r="I43" s="21">
        <f>'Inputs — DFs'!Y44</f>
        <v/>
      </c>
      <c r="J43" s="22" t="n"/>
      <c r="K43" s="23" t="n"/>
      <c r="L43" s="24">
        <f>'Inputs — DFs'!Z44</f>
        <v/>
      </c>
      <c r="M43" s="18">
        <f>'Inputs — DFs'!AA44</f>
        <v/>
      </c>
      <c r="N43" s="20">
        <f>IF(AND(M43&lt;&gt;"",((M43)&lt;&gt;0)),E43/M43,"")</f>
        <v/>
      </c>
      <c r="O43" s="25" t="n"/>
      <c r="P43" s="25" t="n"/>
      <c r="Q43" s="25" t="n"/>
      <c r="R43" s="25" t="n"/>
    </row>
    <row r="44" ht="16.5" customHeight="1">
      <c r="A44" s="26" t="inlineStr">
        <is>
          <t>Cruzeiro do Sul</t>
        </is>
      </c>
      <c r="B44" s="27" t="inlineStr">
        <is>
          <t>CSED3</t>
        </is>
      </c>
      <c r="C44" s="28" t="inlineStr">
        <is>
          <t>Educação</t>
        </is>
      </c>
      <c r="D44" s="29">
        <f>'Inputs — DFs'!Q45</f>
        <v/>
      </c>
      <c r="E44" s="29">
        <f>'Inputs — DFs'!S45</f>
        <v/>
      </c>
      <c r="F44" s="30">
        <f>IF(AND(D44&lt;&gt;"",E44&lt;&gt;""),D44-E44,"")</f>
        <v/>
      </c>
      <c r="G44" s="29">
        <f>'Inputs — DFs'!V45</f>
        <v/>
      </c>
      <c r="H44" s="31">
        <f>IF(AND(G44&lt;&gt;"",((G44)&lt;&gt;0)),F44/G44,"")</f>
        <v/>
      </c>
      <c r="I44" s="32">
        <f>'Inputs — DFs'!Y45</f>
        <v/>
      </c>
      <c r="J44" s="33" t="n"/>
      <c r="K44" s="34" t="n"/>
      <c r="L44" s="35">
        <f>'Inputs — DFs'!Z45</f>
        <v/>
      </c>
      <c r="M44" s="29">
        <f>'Inputs — DFs'!AA45</f>
        <v/>
      </c>
      <c r="N44" s="31">
        <f>IF(AND(M44&lt;&gt;"",((M44)&lt;&gt;0)),E44/M44,"")</f>
        <v/>
      </c>
      <c r="O44" s="36" t="n"/>
      <c r="P44" s="36" t="n"/>
      <c r="Q44" s="36" t="n"/>
      <c r="R44" s="36" t="n"/>
    </row>
    <row r="45" ht="16.5" customHeight="1">
      <c r="A45" s="15" t="inlineStr">
        <is>
          <t>Cogna</t>
        </is>
      </c>
      <c r="B45" s="16" t="inlineStr">
        <is>
          <t>COGN3</t>
        </is>
      </c>
      <c r="C45" s="17" t="inlineStr">
        <is>
          <t>Educação</t>
        </is>
      </c>
      <c r="D45" s="18">
        <f>'Inputs — DFs'!Q46</f>
        <v/>
      </c>
      <c r="E45" s="18">
        <f>'Inputs — DFs'!S46</f>
        <v/>
      </c>
      <c r="F45" s="19">
        <f>IF(AND(D45&lt;&gt;"",E45&lt;&gt;""),D45-E45,"")</f>
        <v/>
      </c>
      <c r="G45" s="18">
        <f>'Inputs — DFs'!V46</f>
        <v/>
      </c>
      <c r="H45" s="20">
        <f>IF(AND(G45&lt;&gt;"",((G45)&lt;&gt;0)),F45/G45,"")</f>
        <v/>
      </c>
      <c r="I45" s="21">
        <f>'Inputs — DFs'!Y46</f>
        <v/>
      </c>
      <c r="J45" s="22" t="n"/>
      <c r="K45" s="23" t="n"/>
      <c r="L45" s="24">
        <f>'Inputs — DFs'!Z46</f>
        <v/>
      </c>
      <c r="M45" s="18">
        <f>'Inputs — DFs'!AA46</f>
        <v/>
      </c>
      <c r="N45" s="20">
        <f>IF(AND(M45&lt;&gt;"",((M45)&lt;&gt;0)),E45/M45,"")</f>
        <v/>
      </c>
      <c r="O45" s="25" t="n"/>
      <c r="P45" s="25" t="n"/>
      <c r="Q45" s="25" t="n"/>
      <c r="R45" s="25" t="n"/>
    </row>
    <row r="46" ht="16.5" customHeight="1">
      <c r="A46" s="26" t="inlineStr">
        <is>
          <t>Vitru</t>
        </is>
      </c>
      <c r="B46" s="27" t="inlineStr">
        <is>
          <t>VTRU3</t>
        </is>
      </c>
      <c r="C46" s="28" t="inlineStr">
        <is>
          <t>Educação</t>
        </is>
      </c>
      <c r="D46" s="29">
        <f>'Inputs — DFs'!Q47</f>
        <v/>
      </c>
      <c r="E46" s="29">
        <f>'Inputs — DFs'!S47</f>
        <v/>
      </c>
      <c r="F46" s="30">
        <f>IF(AND(D46&lt;&gt;"",E46&lt;&gt;""),D46-E46,"")</f>
        <v/>
      </c>
      <c r="G46" s="29">
        <f>'Inputs — DFs'!V47</f>
        <v/>
      </c>
      <c r="H46" s="31">
        <f>IF(AND(G46&lt;&gt;"",((G46)&lt;&gt;0)),F46/G46,"")</f>
        <v/>
      </c>
      <c r="I46" s="32">
        <f>'Inputs — DFs'!Y47</f>
        <v/>
      </c>
      <c r="J46" s="33" t="n"/>
      <c r="K46" s="34" t="n"/>
      <c r="L46" s="35">
        <f>'Inputs — DFs'!Z47</f>
        <v/>
      </c>
      <c r="M46" s="29">
        <f>'Inputs — DFs'!AA47</f>
        <v/>
      </c>
      <c r="N46" s="31">
        <f>IF(AND(M46&lt;&gt;"",((M46)&lt;&gt;0)),E46/M46,"")</f>
        <v/>
      </c>
      <c r="O46" s="36" t="n"/>
      <c r="P46" s="36" t="n"/>
      <c r="Q46" s="36" t="n"/>
      <c r="R46" s="36" t="n"/>
    </row>
    <row r="47" ht="16.5" customHeight="1">
      <c r="A47" s="15" t="inlineStr">
        <is>
          <t>Ser Educacional</t>
        </is>
      </c>
      <c r="B47" s="16" t="inlineStr">
        <is>
          <t>SEER3</t>
        </is>
      </c>
      <c r="C47" s="17" t="inlineStr">
        <is>
          <t>Educação</t>
        </is>
      </c>
      <c r="D47" s="18">
        <f>'Inputs — DFs'!Q48</f>
        <v/>
      </c>
      <c r="E47" s="18">
        <f>'Inputs — DFs'!S48</f>
        <v/>
      </c>
      <c r="F47" s="19">
        <f>IF(AND(D47&lt;&gt;"",E47&lt;&gt;""),D47-E47,"")</f>
        <v/>
      </c>
      <c r="G47" s="18">
        <f>'Inputs — DFs'!V48</f>
        <v/>
      </c>
      <c r="H47" s="20">
        <f>IF(AND(G47&lt;&gt;"",((G47)&lt;&gt;0)),F47/G47,"")</f>
        <v/>
      </c>
      <c r="I47" s="21">
        <f>'Inputs — DFs'!Y48</f>
        <v/>
      </c>
      <c r="J47" s="22" t="n"/>
      <c r="K47" s="23" t="n"/>
      <c r="L47" s="24">
        <f>'Inputs — DFs'!Z48</f>
        <v/>
      </c>
      <c r="M47" s="18">
        <f>'Inputs — DFs'!AA48</f>
        <v/>
      </c>
      <c r="N47" s="20">
        <f>IF(AND(M47&lt;&gt;"",((M47)&lt;&gt;0)),E47/M47,"")</f>
        <v/>
      </c>
      <c r="O47" s="25" t="n"/>
      <c r="P47" s="25" t="n"/>
      <c r="Q47" s="25" t="n"/>
      <c r="R47" s="25" t="n"/>
    </row>
    <row r="48" ht="16.5" customHeight="1">
      <c r="A48" s="26" t="inlineStr">
        <is>
          <t>Salta Educação</t>
        </is>
      </c>
      <c r="B48" s="27" t="inlineStr">
        <is>
          <t>N/A</t>
        </is>
      </c>
      <c r="C48" s="28" t="inlineStr">
        <is>
          <t>Educação</t>
        </is>
      </c>
      <c r="D48" s="29">
        <f>'Inputs — DFs'!Q49</f>
        <v/>
      </c>
      <c r="E48" s="29">
        <f>'Inputs — DFs'!S49</f>
        <v/>
      </c>
      <c r="F48" s="30">
        <f>IF(AND(D48&lt;&gt;"",E48&lt;&gt;""),D48-E48,"")</f>
        <v/>
      </c>
      <c r="G48" s="29">
        <f>'Inputs — DFs'!V49</f>
        <v/>
      </c>
      <c r="H48" s="31">
        <f>IF(AND(G48&lt;&gt;"",((G48)&lt;&gt;0)),F48/G48,"")</f>
        <v/>
      </c>
      <c r="I48" s="32">
        <f>'Inputs — DFs'!Y49</f>
        <v/>
      </c>
      <c r="J48" s="33" t="n"/>
      <c r="K48" s="34" t="n"/>
      <c r="L48" s="35">
        <f>'Inputs — DFs'!Z49</f>
        <v/>
      </c>
      <c r="M48" s="29">
        <f>'Inputs — DFs'!AA49</f>
        <v/>
      </c>
      <c r="N48" s="31">
        <f>IF(AND(M48&lt;&gt;"",((M48)&lt;&gt;0)),E48/M48,"")</f>
        <v/>
      </c>
      <c r="O48" s="36" t="n"/>
      <c r="P48" s="36" t="n"/>
      <c r="Q48" s="36" t="n"/>
      <c r="R48" s="36" t="n"/>
    </row>
    <row r="49" ht="16.5" customHeight="1">
      <c r="A49" s="15" t="inlineStr">
        <is>
          <t>Inspira</t>
        </is>
      </c>
      <c r="B49" s="16" t="inlineStr">
        <is>
          <t>N/A</t>
        </is>
      </c>
      <c r="C49" s="17" t="inlineStr">
        <is>
          <t>Educação</t>
        </is>
      </c>
      <c r="D49" s="18">
        <f>'Inputs — DFs'!Q50</f>
        <v/>
      </c>
      <c r="E49" s="18">
        <f>'Inputs — DFs'!S50</f>
        <v/>
      </c>
      <c r="F49" s="19">
        <f>IF(AND(D49&lt;&gt;"",E49&lt;&gt;""),D49-E49,"")</f>
        <v/>
      </c>
      <c r="G49" s="18">
        <f>'Inputs — DFs'!V50</f>
        <v/>
      </c>
      <c r="H49" s="20">
        <f>IF(AND(G49&lt;&gt;"",((G49)&lt;&gt;0)),F49/G49,"")</f>
        <v/>
      </c>
      <c r="I49" s="21">
        <f>'Inputs — DFs'!Y50</f>
        <v/>
      </c>
      <c r="J49" s="22" t="n"/>
      <c r="K49" s="23" t="n"/>
      <c r="L49" s="24">
        <f>'Inputs — DFs'!Z50</f>
        <v/>
      </c>
      <c r="M49" s="18">
        <f>'Inputs — DFs'!AA50</f>
        <v/>
      </c>
      <c r="N49" s="20">
        <f>IF(AND(M49&lt;&gt;"",((M49)&lt;&gt;0)),E49/M49,"")</f>
        <v/>
      </c>
      <c r="O49" s="25" t="n"/>
      <c r="P49" s="25" t="n"/>
      <c r="Q49" s="25" t="n"/>
      <c r="R49" s="25" t="n"/>
    </row>
    <row r="50" ht="16.5" customHeight="1">
      <c r="A50" s="26" t="inlineStr">
        <is>
          <t>Smartfit</t>
        </is>
      </c>
      <c r="B50" s="27" t="inlineStr">
        <is>
          <t>SMFT3</t>
        </is>
      </c>
      <c r="C50" s="28" t="inlineStr">
        <is>
          <t>Fitness / Saúde</t>
        </is>
      </c>
      <c r="D50" s="29">
        <f>'Inputs — DFs'!Q51</f>
        <v/>
      </c>
      <c r="E50" s="29">
        <f>'Inputs — DFs'!S51</f>
        <v/>
      </c>
      <c r="F50" s="30">
        <f>IF(AND(D50&lt;&gt;"",E50&lt;&gt;""),D50-E50,"")</f>
        <v/>
      </c>
      <c r="G50" s="29">
        <f>'Inputs — DFs'!V51</f>
        <v/>
      </c>
      <c r="H50" s="31">
        <f>IF(AND(G50&lt;&gt;"",((G50)&lt;&gt;0)),F50/G50,"")</f>
        <v/>
      </c>
      <c r="I50" s="32">
        <f>'Inputs — DFs'!Y51</f>
        <v/>
      </c>
      <c r="J50" s="33" t="n"/>
      <c r="K50" s="34" t="n"/>
      <c r="L50" s="35">
        <f>'Inputs — DFs'!Z51</f>
        <v/>
      </c>
      <c r="M50" s="29">
        <f>'Inputs — DFs'!AA51</f>
        <v/>
      </c>
      <c r="N50" s="31">
        <f>IF(AND(M50&lt;&gt;"",((M50)&lt;&gt;0)),E50/M50,"")</f>
        <v/>
      </c>
      <c r="O50" s="36" t="n"/>
      <c r="P50" s="36" t="n"/>
      <c r="Q50" s="36" t="n"/>
      <c r="R50" s="36" t="n"/>
    </row>
    <row r="51" ht="15.75" customHeight="1">
      <c r="A51" s="10" t="inlineStr">
        <is>
          <t>TOTAL  (46 empresas)</t>
        </is>
      </c>
      <c r="D51" s="37">
        <f>SUM(D5:D50)</f>
        <v/>
      </c>
      <c r="E51" s="37">
        <f>SUM(E5:E50)</f>
        <v/>
      </c>
      <c r="F51" s="37">
        <f>SUM(F5:F50)</f>
        <v/>
      </c>
      <c r="G51" s="37">
        <f>SUM(G5:G50)</f>
        <v/>
      </c>
      <c r="H51" s="38" t="n"/>
      <c r="I51" s="38" t="n"/>
      <c r="J51" s="38" t="n"/>
      <c r="K51" s="38" t="n"/>
      <c r="L51" s="38" t="n"/>
      <c r="M51" s="37">
        <f>SUM(M5:M50)</f>
        <v/>
      </c>
      <c r="N51" s="38" t="n"/>
      <c r="O51" s="38" t="n"/>
      <c r="P51" s="38" t="n"/>
      <c r="Q51" s="38" t="n"/>
      <c r="R51" s="38" t="n"/>
    </row>
  </sheetData>
  <mergeCells count="6">
    <mergeCell ref="A1:Z1"/>
    <mergeCell ref="D2:N2"/>
    <mergeCell ref="O2:R2"/>
    <mergeCell ref="A2:C2"/>
    <mergeCell ref="A51:C51"/>
    <mergeCell ref="A4:R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55A11"/>
    <outlinePr summaryBelow="1" summaryRight="1"/>
    <pageSetUpPr/>
  </sheetPr>
  <dimension ref="A1:AB5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:AB1"/>
    </sheetView>
  </sheetViews>
  <sheetFormatPr baseColWidth="10" defaultColWidth="8.6640625" defaultRowHeight="15"/>
  <cols>
    <col width="20" customWidth="1" min="1" max="1"/>
    <col width="14" customWidth="1" min="2" max="2"/>
    <col width="14" customWidth="1" min="3" max="4"/>
    <col width="14" customWidth="1" min="4" max="4"/>
    <col width="14" customWidth="1" min="5" max="6"/>
    <col width="14" customWidth="1" min="6" max="6"/>
    <col width="14" customWidth="1" min="7" max="12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6"/>
    <col width="14" customWidth="1" min="15" max="15"/>
    <col width="14" customWidth="1" min="16" max="16"/>
    <col width="15" customWidth="1" min="17" max="18"/>
    <col width="14" customWidth="1" min="19" max="19"/>
    <col width="15" customWidth="1" min="20" max="21"/>
    <col width="14" customWidth="1" min="22" max="22"/>
    <col width="13" customWidth="1" min="23" max="28"/>
  </cols>
  <sheetData>
    <row r="1" ht="15.75" customHeight="1">
      <c r="A1" s="9" t="inlineStr">
        <is>
          <t>INPUTS — DEMONSTRAÇÕES FINANCEIRAS  |  EXTRAÇÃO DIRETA DAS NOTAS EXPLICATIVAS (DFP / ITR)</t>
        </is>
      </c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  <c r="AA1" s="67" t="n"/>
      <c r="AB1" s="67" t="n"/>
    </row>
    <row r="2" ht="12.75" customHeight="1">
      <c r="A2" s="8" t="inlineStr">
        <is>
          <t>Azul = input manual (hardcode extraído da DF)  |  Preto = fórmula automática  |  Verde = valor exportado para 'Painel de Crédito'  |  Cinza = calculado nesta aba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  <c r="AA2" s="67" t="n"/>
      <c r="AB2" s="67" t="n"/>
    </row>
    <row r="3" ht="18" customHeight="1">
      <c r="A3" s="7" t="inlineStr">
        <is>
          <t>IDENTIFICAÇÃO</t>
        </is>
      </c>
      <c r="B3" s="68" t="n"/>
      <c r="C3" s="6" t="inlineStr">
        <is>
          <t>BALANÇO — DÍVIDA  (R$ mm)</t>
        </is>
      </c>
      <c r="D3" s="67" t="n"/>
      <c r="E3" s="67" t="n"/>
      <c r="F3" s="67" t="n"/>
      <c r="G3" s="67" t="n"/>
      <c r="H3" s="68" t="n"/>
      <c r="I3" s="6" t="inlineStr">
        <is>
          <t>BALANÇO — CAIXA  (R$ mm)</t>
        </is>
      </c>
      <c r="J3" s="68" t="n"/>
      <c r="K3" s="5" t="inlineStr">
        <is>
          <t>P&amp;L LTM  (R$ mm)</t>
        </is>
      </c>
      <c r="L3" s="67" t="n"/>
      <c r="M3" s="67" t="n"/>
      <c r="N3" s="67" t="n"/>
      <c r="O3" s="67" t="n"/>
      <c r="P3" s="68" t="n"/>
      <c r="Q3" s="39" t="inlineStr">
        <is>
          <t>DÍVIDA BRUTA CALC.</t>
        </is>
      </c>
      <c r="R3" s="68" t="n"/>
      <c r="S3" s="39" t="inlineStr">
        <is>
          <t>CAIXA / DÍV. LÍQUIDA</t>
        </is>
      </c>
      <c r="T3" s="67" t="n"/>
      <c r="U3" s="68" t="n"/>
      <c r="V3" s="39" t="inlineStr">
        <is>
          <t>EBITDA</t>
        </is>
      </c>
      <c r="W3" s="39" t="inlineStr">
        <is>
          <t>DL/EBITDA</t>
        </is>
      </c>
      <c r="X3" s="68" t="n"/>
      <c r="Y3" s="39" t="inlineStr">
        <is>
          <t>ICJ</t>
        </is>
      </c>
      <c r="Z3" s="39" t="inlineStr">
        <is>
          <t>LIQUIDEZ CP</t>
        </is>
      </c>
      <c r="AA3" s="67" t="n"/>
      <c r="AB3" s="68" t="n"/>
    </row>
    <row r="4" ht="12.75" customHeight="1">
      <c r="A4" s="3" t="inlineStr">
        <is>
          <t>ℹ  IFRS 16 (arrendamentos): preencher cols E e F se quiser comparar alavancagem com e sem leasing. Cols Q e W excluem IFRS16; cols R e X incluem. Deixar em branco se não aplicável.</t>
        </is>
      </c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</row>
    <row r="5" ht="39.75" customHeight="1">
      <c r="A5" s="14" t="inlineStr">
        <is>
          <t>Empresa</t>
        </is>
      </c>
      <c r="B5" s="14" t="inlineStr">
        <is>
          <t>Período
(ex: 4T24 LTM)</t>
        </is>
      </c>
      <c r="C5" s="14" t="inlineStr">
        <is>
          <t>Emp. &amp; Fin.
CP</t>
        </is>
      </c>
      <c r="D5" s="14" t="inlineStr">
        <is>
          <t>Emp. &amp; Fin.
LP</t>
        </is>
      </c>
      <c r="E5" s="14" t="inlineStr">
        <is>
          <t>Arrendam.
CP (IFRS16)</t>
        </is>
      </c>
      <c r="F5" s="14" t="inlineStr">
        <is>
          <t>Arrendam.
LP (IFRS16)</t>
        </is>
      </c>
      <c r="G5" s="14" t="inlineStr">
        <is>
          <t>Outros
Passivos Fin. CP</t>
        </is>
      </c>
      <c r="H5" s="14" t="inlineStr">
        <is>
          <t>Outros
Passivos Fin. LP</t>
        </is>
      </c>
      <c r="I5" s="14" t="inlineStr">
        <is>
          <t>Caixa e
Equivalentes</t>
        </is>
      </c>
      <c r="J5" s="14" t="inlineStr">
        <is>
          <t>Aplicações
Financ. CP</t>
        </is>
      </c>
      <c r="K5" s="14" t="inlineStr">
        <is>
          <t>Receita
Líquida LTM</t>
        </is>
      </c>
      <c r="L5" s="14" t="inlineStr">
        <is>
          <t>EBIT
LTM</t>
        </is>
      </c>
      <c r="M5" s="14" t="inlineStr">
        <is>
          <t>D&amp;A
LTM</t>
        </is>
      </c>
      <c r="N5" s="14" t="inlineStr">
        <is>
          <t>Desp.
Financ. Bruta</t>
        </is>
      </c>
      <c r="O5" s="14" t="inlineStr">
        <is>
          <t>Rec.
Financ. LTM</t>
        </is>
      </c>
      <c r="P5" s="14" t="inlineStr">
        <is>
          <t>Capex
LTM</t>
        </is>
      </c>
      <c r="Q5" s="40" t="inlineStr">
        <is>
          <t>Dív. Bruta
(sem IFRS16)</t>
        </is>
      </c>
      <c r="R5" s="40" t="inlineStr">
        <is>
          <t>Dív. Bruta
(com IFRS16)</t>
        </is>
      </c>
      <c r="S5" s="40" t="inlineStr">
        <is>
          <t>Caixa
Total</t>
        </is>
      </c>
      <c r="T5" s="40" t="inlineStr">
        <is>
          <t>Dív. Líq.
(sem IFRS16)</t>
        </is>
      </c>
      <c r="U5" s="40" t="inlineStr">
        <is>
          <t>Dív. Líq.
(com IFRS16)</t>
        </is>
      </c>
      <c r="V5" s="40" t="inlineStr">
        <is>
          <t>EBITDA
LTM</t>
        </is>
      </c>
      <c r="W5" s="40" t="inlineStr">
        <is>
          <t>DL/EBITDA
(sem IFRS16)</t>
        </is>
      </c>
      <c r="X5" s="40" t="inlineStr">
        <is>
          <t>DL/EBITDA
(com IFRS16)</t>
        </is>
      </c>
      <c r="Y5" s="40" t="inlineStr">
        <is>
          <t>EBITDA /
Desp Fin</t>
        </is>
      </c>
      <c r="Z5" s="40" t="inlineStr">
        <is>
          <t>% CP
(sem IFRS16)</t>
        </is>
      </c>
      <c r="AA5" s="40" t="inlineStr">
        <is>
          <t>Dív. CP
(sem IFRS16)</t>
        </is>
      </c>
      <c r="AB5" s="40" t="inlineStr">
        <is>
          <t>Caixa /
Dív. CP</t>
        </is>
      </c>
    </row>
    <row r="6" ht="16.5" customHeight="1">
      <c r="A6" s="15" t="inlineStr">
        <is>
          <t>Energisa</t>
        </is>
      </c>
      <c r="B6" s="16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2">
        <f>IFERROR(C6+D6+G6+H6,"")</f>
        <v/>
      </c>
      <c r="R6" s="42">
        <f>IFERROR(C6+D6+E6+F6+G6+H6,"")</f>
        <v/>
      </c>
      <c r="S6" s="42">
        <f>IFERROR(I6+J6,"")</f>
        <v/>
      </c>
      <c r="T6" s="42">
        <f>IFERROR(Q6-S6,"")</f>
        <v/>
      </c>
      <c r="U6" s="42">
        <f>IFERROR(R6-S6,"")</f>
        <v/>
      </c>
      <c r="V6" s="42">
        <f>IFERROR(L6+M6,"")</f>
        <v/>
      </c>
      <c r="W6" s="43">
        <f>IFERROR(IF(V6=0,"",T6/V6),"")</f>
        <v/>
      </c>
      <c r="X6" s="43">
        <f>IFERROR(IF(V6=0,"",U6/V6),"")</f>
        <v/>
      </c>
      <c r="Y6" s="43">
        <f>IFERROR(IF(N6=0,"",V6/N6),"")</f>
        <v/>
      </c>
      <c r="Z6" s="44">
        <f>IFERROR(IF(Q6=0,"",(C6+G6)/Q6),"")</f>
        <v/>
      </c>
      <c r="AA6" s="42">
        <f>IFERROR(C6+G6,"")</f>
        <v/>
      </c>
      <c r="AB6" s="43">
        <f>IFERROR(IF(AA6=0,"",S6/AA6),"")</f>
        <v/>
      </c>
    </row>
    <row r="7" ht="16.5" customHeight="1">
      <c r="A7" s="26" t="inlineStr">
        <is>
          <t>Cemig</t>
        </is>
      </c>
      <c r="B7" s="27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2">
        <f>IFERROR(C7+D7+G7+H7,"")</f>
        <v/>
      </c>
      <c r="R7" s="42">
        <f>IFERROR(C7+D7+E7+F7+G7+H7,"")</f>
        <v/>
      </c>
      <c r="S7" s="42">
        <f>IFERROR(I7+J7,"")</f>
        <v/>
      </c>
      <c r="T7" s="42">
        <f>IFERROR(Q7-S7,"")</f>
        <v/>
      </c>
      <c r="U7" s="42">
        <f>IFERROR(R7-S7,"")</f>
        <v/>
      </c>
      <c r="V7" s="42">
        <f>IFERROR(L7+M7,"")</f>
        <v/>
      </c>
      <c r="W7" s="43">
        <f>IFERROR(IF(V7=0,"",T7/V7),"")</f>
        <v/>
      </c>
      <c r="X7" s="43">
        <f>IFERROR(IF(V7=0,"",U7/V7),"")</f>
        <v/>
      </c>
      <c r="Y7" s="43">
        <f>IFERROR(IF(N7=0,"",V7/N7),"")</f>
        <v/>
      </c>
      <c r="Z7" s="44">
        <f>IFERROR(IF(Q7=0,"",(C7+G7)/Q7),"")</f>
        <v/>
      </c>
      <c r="AA7" s="42">
        <f>IFERROR(C7+G7,"")</f>
        <v/>
      </c>
      <c r="AB7" s="43">
        <f>IFERROR(IF(AA7=0,"",S7/AA7),"")</f>
        <v/>
      </c>
    </row>
    <row r="8" ht="16.5" customHeight="1">
      <c r="A8" s="15" t="inlineStr">
        <is>
          <t>CPFL</t>
        </is>
      </c>
      <c r="B8" s="16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2">
        <f>IFERROR(C8+D8+G8+H8,"")</f>
        <v/>
      </c>
      <c r="R8" s="42">
        <f>IFERROR(C8+D8+E8+F8+G8+H8,"")</f>
        <v/>
      </c>
      <c r="S8" s="42">
        <f>IFERROR(I8+J8,"")</f>
        <v/>
      </c>
      <c r="T8" s="42">
        <f>IFERROR(Q8-S8,"")</f>
        <v/>
      </c>
      <c r="U8" s="42">
        <f>IFERROR(R8-S8,"")</f>
        <v/>
      </c>
      <c r="V8" s="42">
        <f>IFERROR(L8+M8,"")</f>
        <v/>
      </c>
      <c r="W8" s="43">
        <f>IFERROR(IF(V8=0,"",T8/V8),"")</f>
        <v/>
      </c>
      <c r="X8" s="43">
        <f>IFERROR(IF(V8=0,"",U8/V8),"")</f>
        <v/>
      </c>
      <c r="Y8" s="43">
        <f>IFERROR(IF(N8=0,"",V8/N8),"")</f>
        <v/>
      </c>
      <c r="Z8" s="44">
        <f>IFERROR(IF(Q8=0,"",(C8+G8)/Q8),"")</f>
        <v/>
      </c>
      <c r="AA8" s="42">
        <f>IFERROR(C8+G8,"")</f>
        <v/>
      </c>
      <c r="AB8" s="43">
        <f>IFERROR(IF(AA8=0,"",S8/AA8),"")</f>
        <v/>
      </c>
    </row>
    <row r="9" ht="16.5" customHeight="1">
      <c r="A9" s="26" t="inlineStr">
        <is>
          <t>Desktop</t>
        </is>
      </c>
      <c r="B9" s="27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2">
        <f>IFERROR(C9+D9+G9+H9,"")</f>
        <v/>
      </c>
      <c r="R9" s="42">
        <f>IFERROR(C9+D9+E9+F9+G9+H9,"")</f>
        <v/>
      </c>
      <c r="S9" s="42">
        <f>IFERROR(I9+J9,"")</f>
        <v/>
      </c>
      <c r="T9" s="42">
        <f>IFERROR(Q9-S9,"")</f>
        <v/>
      </c>
      <c r="U9" s="42">
        <f>IFERROR(R9-S9,"")</f>
        <v/>
      </c>
      <c r="V9" s="42">
        <f>IFERROR(L9+M9,"")</f>
        <v/>
      </c>
      <c r="W9" s="43">
        <f>IFERROR(IF(V9=0,"",T9/V9),"")</f>
        <v/>
      </c>
      <c r="X9" s="43">
        <f>IFERROR(IF(V9=0,"",U9/V9),"")</f>
        <v/>
      </c>
      <c r="Y9" s="43">
        <f>IFERROR(IF(N9=0,"",V9/N9),"")</f>
        <v/>
      </c>
      <c r="Z9" s="44">
        <f>IFERROR(IF(Q9=0,"",(C9+G9)/Q9),"")</f>
        <v/>
      </c>
      <c r="AA9" s="42">
        <f>IFERROR(C9+G9,"")</f>
        <v/>
      </c>
      <c r="AB9" s="43">
        <f>IFERROR(IF(AA9=0,"",S9/AA9),"")</f>
        <v/>
      </c>
    </row>
    <row r="10" ht="16.5" customHeight="1">
      <c r="A10" s="15" t="inlineStr">
        <is>
          <t>Unifique</t>
        </is>
      </c>
      <c r="B10" s="16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2">
        <f>IFERROR(C10+D10+G10+H10,"")</f>
        <v/>
      </c>
      <c r="R10" s="42">
        <f>IFERROR(C10+D10+E10+F10+G10+H10,"")</f>
        <v/>
      </c>
      <c r="S10" s="42">
        <f>IFERROR(I10+J10,"")</f>
        <v/>
      </c>
      <c r="T10" s="42">
        <f>IFERROR(Q10-S10,"")</f>
        <v/>
      </c>
      <c r="U10" s="42">
        <f>IFERROR(R10-S10,"")</f>
        <v/>
      </c>
      <c r="V10" s="42">
        <f>IFERROR(L10+M10,"")</f>
        <v/>
      </c>
      <c r="W10" s="43">
        <f>IFERROR(IF(V10=0,"",T10/V10),"")</f>
        <v/>
      </c>
      <c r="X10" s="43">
        <f>IFERROR(IF(V10=0,"",U10/V10),"")</f>
        <v/>
      </c>
      <c r="Y10" s="43">
        <f>IFERROR(IF(N10=0,"",V10/N10),"")</f>
        <v/>
      </c>
      <c r="Z10" s="44">
        <f>IFERROR(IF(Q10=0,"",(C10+G10)/Q10),"")</f>
        <v/>
      </c>
      <c r="AA10" s="42">
        <f>IFERROR(C10+G10,"")</f>
        <v/>
      </c>
      <c r="AB10" s="43">
        <f>IFERROR(IF(AA10=0,"",S10/AA10),"")</f>
        <v/>
      </c>
    </row>
    <row r="11" ht="16.5" customHeight="1">
      <c r="A11" s="26" t="inlineStr">
        <is>
          <t>Brisanet</t>
        </is>
      </c>
      <c r="B11" s="27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2">
        <f>IFERROR(C11+D11+G11+H11,"")</f>
        <v/>
      </c>
      <c r="R11" s="42">
        <f>IFERROR(C11+D11+E11+F11+G11+H11,"")</f>
        <v/>
      </c>
      <c r="S11" s="42">
        <f>IFERROR(I11+J11,"")</f>
        <v/>
      </c>
      <c r="T11" s="42">
        <f>IFERROR(Q11-S11,"")</f>
        <v/>
      </c>
      <c r="U11" s="42">
        <f>IFERROR(R11-S11,"")</f>
        <v/>
      </c>
      <c r="V11" s="42">
        <f>IFERROR(L11+M11,"")</f>
        <v/>
      </c>
      <c r="W11" s="43">
        <f>IFERROR(IF(V11=0,"",T11/V11),"")</f>
        <v/>
      </c>
      <c r="X11" s="43">
        <f>IFERROR(IF(V11=0,"",U11/V11),"")</f>
        <v/>
      </c>
      <c r="Y11" s="43">
        <f>IFERROR(IF(N11=0,"",V11/N11),"")</f>
        <v/>
      </c>
      <c r="Z11" s="44">
        <f>IFERROR(IF(Q11=0,"",(C11+G11)/Q11),"")</f>
        <v/>
      </c>
      <c r="AA11" s="42">
        <f>IFERROR(C11+G11,"")</f>
        <v/>
      </c>
      <c r="AB11" s="43">
        <f>IFERROR(IF(AA11=0,"",S11/AA11),"")</f>
        <v/>
      </c>
    </row>
    <row r="12" ht="16.5" customHeight="1">
      <c r="A12" s="15" t="inlineStr">
        <is>
          <t>Vero</t>
        </is>
      </c>
      <c r="B12" s="16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2">
        <f>IFERROR(C12+D12+G12+H12,"")</f>
        <v/>
      </c>
      <c r="R12" s="42">
        <f>IFERROR(C12+D12+E12+F12+G12+H12,"")</f>
        <v/>
      </c>
      <c r="S12" s="42">
        <f>IFERROR(I12+J12,"")</f>
        <v/>
      </c>
      <c r="T12" s="42">
        <f>IFERROR(Q12-S12,"")</f>
        <v/>
      </c>
      <c r="U12" s="42">
        <f>IFERROR(R12-S12,"")</f>
        <v/>
      </c>
      <c r="V12" s="42">
        <f>IFERROR(L12+M12,"")</f>
        <v/>
      </c>
      <c r="W12" s="43">
        <f>IFERROR(IF(V12=0,"",T12/V12),"")</f>
        <v/>
      </c>
      <c r="X12" s="43">
        <f>IFERROR(IF(V12=0,"",U12/V12),"")</f>
        <v/>
      </c>
      <c r="Y12" s="43">
        <f>IFERROR(IF(N12=0,"",V12/N12),"")</f>
        <v/>
      </c>
      <c r="Z12" s="44">
        <f>IFERROR(IF(Q12=0,"",(C12+G12)/Q12),"")</f>
        <v/>
      </c>
      <c r="AA12" s="42">
        <f>IFERROR(C12+G12,"")</f>
        <v/>
      </c>
      <c r="AB12" s="43">
        <f>IFERROR(IF(AA12=0,"",S12/AA12),"")</f>
        <v/>
      </c>
    </row>
    <row r="13" ht="16.5" customHeight="1">
      <c r="A13" s="26" t="inlineStr">
        <is>
          <t>Alloha</t>
        </is>
      </c>
      <c r="B13" s="27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2">
        <f>IFERROR(C13+D13+G13+H13,"")</f>
        <v/>
      </c>
      <c r="R13" s="42">
        <f>IFERROR(C13+D13+E13+F13+G13+H13,"")</f>
        <v/>
      </c>
      <c r="S13" s="42">
        <f>IFERROR(I13+J13,"")</f>
        <v/>
      </c>
      <c r="T13" s="42">
        <f>IFERROR(Q13-S13,"")</f>
        <v/>
      </c>
      <c r="U13" s="42">
        <f>IFERROR(R13-S13,"")</f>
        <v/>
      </c>
      <c r="V13" s="42">
        <f>IFERROR(L13+M13,"")</f>
        <v/>
      </c>
      <c r="W13" s="43">
        <f>IFERROR(IF(V13=0,"",T13/V13),"")</f>
        <v/>
      </c>
      <c r="X13" s="43">
        <f>IFERROR(IF(V13=0,"",U13/V13),"")</f>
        <v/>
      </c>
      <c r="Y13" s="43">
        <f>IFERROR(IF(N13=0,"",V13/N13),"")</f>
        <v/>
      </c>
      <c r="Z13" s="44">
        <f>IFERROR(IF(Q13=0,"",(C13+G13)/Q13),"")</f>
        <v/>
      </c>
      <c r="AA13" s="42">
        <f>IFERROR(C13+G13,"")</f>
        <v/>
      </c>
      <c r="AB13" s="43">
        <f>IFERROR(IF(AA13=0,"",S13/AA13),"")</f>
        <v/>
      </c>
    </row>
    <row r="14" ht="16.5" customHeight="1">
      <c r="A14" s="15" t="inlineStr">
        <is>
          <t>Alares</t>
        </is>
      </c>
      <c r="B14" s="16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2">
        <f>IFERROR(C14+D14+G14+H14,"")</f>
        <v/>
      </c>
      <c r="R14" s="42">
        <f>IFERROR(C14+D14+E14+F14+G14+H14,"")</f>
        <v/>
      </c>
      <c r="S14" s="42">
        <f>IFERROR(I14+J14,"")</f>
        <v/>
      </c>
      <c r="T14" s="42">
        <f>IFERROR(Q14-S14,"")</f>
        <v/>
      </c>
      <c r="U14" s="42">
        <f>IFERROR(R14-S14,"")</f>
        <v/>
      </c>
      <c r="V14" s="42">
        <f>IFERROR(L14+M14,"")</f>
        <v/>
      </c>
      <c r="W14" s="43">
        <f>IFERROR(IF(V14=0,"",T14/V14),"")</f>
        <v/>
      </c>
      <c r="X14" s="43">
        <f>IFERROR(IF(V14=0,"",U14/V14),"")</f>
        <v/>
      </c>
      <c r="Y14" s="43">
        <f>IFERROR(IF(N14=0,"",V14/N14),"")</f>
        <v/>
      </c>
      <c r="Z14" s="44">
        <f>IFERROR(IF(Q14=0,"",(C14+G14)/Q14),"")</f>
        <v/>
      </c>
      <c r="AA14" s="42">
        <f>IFERROR(C14+G14,"")</f>
        <v/>
      </c>
      <c r="AB14" s="43">
        <f>IFERROR(IF(AA14=0,"",S14/AA14),"")</f>
        <v/>
      </c>
    </row>
    <row r="15" ht="16.5" customHeight="1">
      <c r="A15" s="26" t="inlineStr">
        <is>
          <t>Tecpar / BrTecPar</t>
        </is>
      </c>
      <c r="B15" s="27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2">
        <f>IFERROR(C15+D15+G15+H15,"")</f>
        <v/>
      </c>
      <c r="R15" s="42">
        <f>IFERROR(C15+D15+E15+F15+G15+H15,"")</f>
        <v/>
      </c>
      <c r="S15" s="42">
        <f>IFERROR(I15+J15,"")</f>
        <v/>
      </c>
      <c r="T15" s="42">
        <f>IFERROR(Q15-S15,"")</f>
        <v/>
      </c>
      <c r="U15" s="42">
        <f>IFERROR(R15-S15,"")</f>
        <v/>
      </c>
      <c r="V15" s="42">
        <f>IFERROR(L15+M15,"")</f>
        <v/>
      </c>
      <c r="W15" s="43">
        <f>IFERROR(IF(V15=0,"",T15/V15),"")</f>
        <v/>
      </c>
      <c r="X15" s="43">
        <f>IFERROR(IF(V15=0,"",U15/V15),"")</f>
        <v/>
      </c>
      <c r="Y15" s="43">
        <f>IFERROR(IF(N15=0,"",V15/N15),"")</f>
        <v/>
      </c>
      <c r="Z15" s="44">
        <f>IFERROR(IF(Q15=0,"",(C15+G15)/Q15),"")</f>
        <v/>
      </c>
      <c r="AA15" s="42">
        <f>IFERROR(C15+G15,"")</f>
        <v/>
      </c>
      <c r="AB15" s="43">
        <f>IFERROR(IF(AA15=0,"",S15/AA15),"")</f>
        <v/>
      </c>
    </row>
    <row r="16" ht="16.5" customHeight="1">
      <c r="A16" s="15" t="inlineStr">
        <is>
          <t>Algar</t>
        </is>
      </c>
      <c r="B16" s="16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2">
        <f>IFERROR(C16+D16+G16+H16,"")</f>
        <v/>
      </c>
      <c r="R16" s="42">
        <f>IFERROR(C16+D16+E16+F16+G16+H16,"")</f>
        <v/>
      </c>
      <c r="S16" s="42">
        <f>IFERROR(I16+J16,"")</f>
        <v/>
      </c>
      <c r="T16" s="42">
        <f>IFERROR(Q16-S16,"")</f>
        <v/>
      </c>
      <c r="U16" s="42">
        <f>IFERROR(R16-S16,"")</f>
        <v/>
      </c>
      <c r="V16" s="42">
        <f>IFERROR(L16+M16,"")</f>
        <v/>
      </c>
      <c r="W16" s="43">
        <f>IFERROR(IF(V16=0,"",T16/V16),"")</f>
        <v/>
      </c>
      <c r="X16" s="43">
        <f>IFERROR(IF(V16=0,"",U16/V16),"")</f>
        <v/>
      </c>
      <c r="Y16" s="43">
        <f>IFERROR(IF(N16=0,"",V16/N16),"")</f>
        <v/>
      </c>
      <c r="Z16" s="44">
        <f>IFERROR(IF(Q16=0,"",(C16+G16)/Q16),"")</f>
        <v/>
      </c>
      <c r="AA16" s="42">
        <f>IFERROR(C16+G16,"")</f>
        <v/>
      </c>
      <c r="AB16" s="43">
        <f>IFERROR(IF(AA16=0,"",S16/AA16),"")</f>
        <v/>
      </c>
    </row>
    <row r="17" ht="16.5" customHeight="1">
      <c r="A17" s="26" t="inlineStr">
        <is>
          <t>TIM</t>
        </is>
      </c>
      <c r="B17" s="27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2">
        <f>IFERROR(C17+D17+G17+H17,"")</f>
        <v/>
      </c>
      <c r="R17" s="42">
        <f>IFERROR(C17+D17+E17+F17+G17+H17,"")</f>
        <v/>
      </c>
      <c r="S17" s="42">
        <f>IFERROR(I17+J17,"")</f>
        <v/>
      </c>
      <c r="T17" s="42">
        <f>IFERROR(Q17-S17,"")</f>
        <v/>
      </c>
      <c r="U17" s="42">
        <f>IFERROR(R17-S17,"")</f>
        <v/>
      </c>
      <c r="V17" s="42">
        <f>IFERROR(L17+M17,"")</f>
        <v/>
      </c>
      <c r="W17" s="43">
        <f>IFERROR(IF(V17=0,"",T17/V17),"")</f>
        <v/>
      </c>
      <c r="X17" s="43">
        <f>IFERROR(IF(V17=0,"",U17/V17),"")</f>
        <v/>
      </c>
      <c r="Y17" s="43">
        <f>IFERROR(IF(N17=0,"",V17/N17),"")</f>
        <v/>
      </c>
      <c r="Z17" s="44">
        <f>IFERROR(IF(Q17=0,"",(C17+G17)/Q17),"")</f>
        <v/>
      </c>
      <c r="AA17" s="42">
        <f>IFERROR(C17+G17,"")</f>
        <v/>
      </c>
      <c r="AB17" s="43">
        <f>IFERROR(IF(AA17=0,"",S17/AA17),"")</f>
        <v/>
      </c>
    </row>
    <row r="18" ht="16.5" customHeight="1">
      <c r="A18" s="15" t="inlineStr">
        <is>
          <t>Vamos</t>
        </is>
      </c>
      <c r="B18" s="16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2">
        <f>IFERROR(C18+D18+G18+H18,"")</f>
        <v/>
      </c>
      <c r="R18" s="42">
        <f>IFERROR(C18+D18+E18+F18+G18+H18,"")</f>
        <v/>
      </c>
      <c r="S18" s="42">
        <f>IFERROR(I18+J18,"")</f>
        <v/>
      </c>
      <c r="T18" s="42">
        <f>IFERROR(Q18-S18,"")</f>
        <v/>
      </c>
      <c r="U18" s="42">
        <f>IFERROR(R18-S18,"")</f>
        <v/>
      </c>
      <c r="V18" s="42">
        <f>IFERROR(L18+M18,"")</f>
        <v/>
      </c>
      <c r="W18" s="43">
        <f>IFERROR(IF(V18=0,"",T18/V18),"")</f>
        <v/>
      </c>
      <c r="X18" s="43">
        <f>IFERROR(IF(V18=0,"",U18/V18),"")</f>
        <v/>
      </c>
      <c r="Y18" s="43">
        <f>IFERROR(IF(N18=0,"",V18/N18),"")</f>
        <v/>
      </c>
      <c r="Z18" s="44">
        <f>IFERROR(IF(Q18=0,"",(C18+G18)/Q18),"")</f>
        <v/>
      </c>
      <c r="AA18" s="42">
        <f>IFERROR(C18+G18,"")</f>
        <v/>
      </c>
      <c r="AB18" s="43">
        <f>IFERROR(IF(AA18=0,"",S18/AA18),"")</f>
        <v/>
      </c>
    </row>
    <row r="19" ht="16.5" customHeight="1">
      <c r="A19" s="26" t="inlineStr">
        <is>
          <t>Movida</t>
        </is>
      </c>
      <c r="B19" s="27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2">
        <f>IFERROR(C19+D19+G19+H19,"")</f>
        <v/>
      </c>
      <c r="R19" s="42">
        <f>IFERROR(C19+D19+E19+F19+G19+H19,"")</f>
        <v/>
      </c>
      <c r="S19" s="42">
        <f>IFERROR(I19+J19,"")</f>
        <v/>
      </c>
      <c r="T19" s="42">
        <f>IFERROR(Q19-S19,"")</f>
        <v/>
      </c>
      <c r="U19" s="42">
        <f>IFERROR(R19-S19,"")</f>
        <v/>
      </c>
      <c r="V19" s="42">
        <f>IFERROR(L19+M19,"")</f>
        <v/>
      </c>
      <c r="W19" s="43">
        <f>IFERROR(IF(V19=0,"",T19/V19),"")</f>
        <v/>
      </c>
      <c r="X19" s="43">
        <f>IFERROR(IF(V19=0,"",U19/V19),"")</f>
        <v/>
      </c>
      <c r="Y19" s="43">
        <f>IFERROR(IF(N19=0,"",V19/N19),"")</f>
        <v/>
      </c>
      <c r="Z19" s="44">
        <f>IFERROR(IF(Q19=0,"",(C19+G19)/Q19),"")</f>
        <v/>
      </c>
      <c r="AA19" s="42">
        <f>IFERROR(C19+G19,"")</f>
        <v/>
      </c>
      <c r="AB19" s="43">
        <f>IFERROR(IF(AA19=0,"",S19/AA19),"")</f>
        <v/>
      </c>
    </row>
    <row r="20" ht="16.5" customHeight="1">
      <c r="A20" s="15" t="inlineStr">
        <is>
          <t>JSL</t>
        </is>
      </c>
      <c r="B20" s="16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2">
        <f>IFERROR(C20+D20+G20+H20,"")</f>
        <v/>
      </c>
      <c r="R20" s="42">
        <f>IFERROR(C20+D20+E20+F20+G20+H20,"")</f>
        <v/>
      </c>
      <c r="S20" s="42">
        <f>IFERROR(I20+J20,"")</f>
        <v/>
      </c>
      <c r="T20" s="42">
        <f>IFERROR(Q20-S20,"")</f>
        <v/>
      </c>
      <c r="U20" s="42">
        <f>IFERROR(R20-S20,"")</f>
        <v/>
      </c>
      <c r="V20" s="42">
        <f>IFERROR(L20+M20,"")</f>
        <v/>
      </c>
      <c r="W20" s="43">
        <f>IFERROR(IF(V20=0,"",T20/V20),"")</f>
        <v/>
      </c>
      <c r="X20" s="43">
        <f>IFERROR(IF(V20=0,"",U20/V20),"")</f>
        <v/>
      </c>
      <c r="Y20" s="43">
        <f>IFERROR(IF(N20=0,"",V20/N20),"")</f>
        <v/>
      </c>
      <c r="Z20" s="44">
        <f>IFERROR(IF(Q20=0,"",(C20+G20)/Q20),"")</f>
        <v/>
      </c>
      <c r="AA20" s="42">
        <f>IFERROR(C20+G20,"")</f>
        <v/>
      </c>
      <c r="AB20" s="43">
        <f>IFERROR(IF(AA20=0,"",S20/AA20),"")</f>
        <v/>
      </c>
    </row>
    <row r="21" ht="16.5" customHeight="1">
      <c r="A21" s="26" t="inlineStr">
        <is>
          <t>Ecorodovias</t>
        </is>
      </c>
      <c r="B21" s="27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2">
        <f>IFERROR(C21+D21+G21+H21,"")</f>
        <v/>
      </c>
      <c r="R21" s="42">
        <f>IFERROR(C21+D21+E21+F21+G21+H21,"")</f>
        <v/>
      </c>
      <c r="S21" s="42">
        <f>IFERROR(I21+J21,"")</f>
        <v/>
      </c>
      <c r="T21" s="42">
        <f>IFERROR(Q21-S21,"")</f>
        <v/>
      </c>
      <c r="U21" s="42">
        <f>IFERROR(R21-S21,"")</f>
        <v/>
      </c>
      <c r="V21" s="42">
        <f>IFERROR(L21+M21,"")</f>
        <v/>
      </c>
      <c r="W21" s="43">
        <f>IFERROR(IF(V21=0,"",T21/V21),"")</f>
        <v/>
      </c>
      <c r="X21" s="43">
        <f>IFERROR(IF(V21=0,"",U21/V21),"")</f>
        <v/>
      </c>
      <c r="Y21" s="43">
        <f>IFERROR(IF(N21=0,"",V21/N21),"")</f>
        <v/>
      </c>
      <c r="Z21" s="44">
        <f>IFERROR(IF(Q21=0,"",(C21+G21)/Q21),"")</f>
        <v/>
      </c>
      <c r="AA21" s="42">
        <f>IFERROR(C21+G21,"")</f>
        <v/>
      </c>
      <c r="AB21" s="43">
        <f>IFERROR(IF(AA21=0,"",S21/AA21),"")</f>
        <v/>
      </c>
    </row>
    <row r="22" ht="16.5" customHeight="1">
      <c r="A22" s="15" t="inlineStr">
        <is>
          <t>Santos Brasil</t>
        </is>
      </c>
      <c r="B22" s="16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2">
        <f>IFERROR(C22+D22+G22+H22,"")</f>
        <v/>
      </c>
      <c r="R22" s="42">
        <f>IFERROR(C22+D22+E22+F22+G22+H22,"")</f>
        <v/>
      </c>
      <c r="S22" s="42">
        <f>IFERROR(I22+J22,"")</f>
        <v/>
      </c>
      <c r="T22" s="42">
        <f>IFERROR(Q22-S22,"")</f>
        <v/>
      </c>
      <c r="U22" s="42">
        <f>IFERROR(R22-S22,"")</f>
        <v/>
      </c>
      <c r="V22" s="42">
        <f>IFERROR(L22+M22,"")</f>
        <v/>
      </c>
      <c r="W22" s="43">
        <f>IFERROR(IF(V22=0,"",T22/V22),"")</f>
        <v/>
      </c>
      <c r="X22" s="43">
        <f>IFERROR(IF(V22=0,"",U22/V22),"")</f>
        <v/>
      </c>
      <c r="Y22" s="43">
        <f>IFERROR(IF(N22=0,"",V22/N22),"")</f>
        <v/>
      </c>
      <c r="Z22" s="44">
        <f>IFERROR(IF(Q22=0,"",(C22+G22)/Q22),"")</f>
        <v/>
      </c>
      <c r="AA22" s="42">
        <f>IFERROR(C22+G22,"")</f>
        <v/>
      </c>
      <c r="AB22" s="43">
        <f>IFERROR(IF(AA22=0,"",S22/AA22),"")</f>
        <v/>
      </c>
    </row>
    <row r="23" ht="16.5" customHeight="1">
      <c r="A23" s="26" t="inlineStr">
        <is>
          <t>Copasa</t>
        </is>
      </c>
      <c r="B23" s="27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2">
        <f>IFERROR(C23+D23+G23+H23,"")</f>
        <v/>
      </c>
      <c r="R23" s="42">
        <f>IFERROR(C23+D23+E23+F23+G23+H23,"")</f>
        <v/>
      </c>
      <c r="S23" s="42">
        <f>IFERROR(I23+J23,"")</f>
        <v/>
      </c>
      <c r="T23" s="42">
        <f>IFERROR(Q23-S23,"")</f>
        <v/>
      </c>
      <c r="U23" s="42">
        <f>IFERROR(R23-S23,"")</f>
        <v/>
      </c>
      <c r="V23" s="42">
        <f>IFERROR(L23+M23,"")</f>
        <v/>
      </c>
      <c r="W23" s="43">
        <f>IFERROR(IF(V23=0,"",T23/V23),"")</f>
        <v/>
      </c>
      <c r="X23" s="43">
        <f>IFERROR(IF(V23=0,"",U23/V23),"")</f>
        <v/>
      </c>
      <c r="Y23" s="43">
        <f>IFERROR(IF(N23=0,"",V23/N23),"")</f>
        <v/>
      </c>
      <c r="Z23" s="44">
        <f>IFERROR(IF(Q23=0,"",(C23+G23)/Q23),"")</f>
        <v/>
      </c>
      <c r="AA23" s="42">
        <f>IFERROR(C23+G23,"")</f>
        <v/>
      </c>
      <c r="AB23" s="43">
        <f>IFERROR(IF(AA23=0,"",S23/AA23),"")</f>
        <v/>
      </c>
    </row>
    <row r="24" ht="16.5" customHeight="1">
      <c r="A24" s="15" t="inlineStr">
        <is>
          <t>Sanepar</t>
        </is>
      </c>
      <c r="B24" s="16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2">
        <f>IFERROR(C24+D24+G24+H24,"")</f>
        <v/>
      </c>
      <c r="R24" s="42">
        <f>IFERROR(C24+D24+E24+F24+G24+H24,"")</f>
        <v/>
      </c>
      <c r="S24" s="42">
        <f>IFERROR(I24+J24,"")</f>
        <v/>
      </c>
      <c r="T24" s="42">
        <f>IFERROR(Q24-S24,"")</f>
        <v/>
      </c>
      <c r="U24" s="42">
        <f>IFERROR(R24-S24,"")</f>
        <v/>
      </c>
      <c r="V24" s="42">
        <f>IFERROR(L24+M24,"")</f>
        <v/>
      </c>
      <c r="W24" s="43">
        <f>IFERROR(IF(V24=0,"",T24/V24),"")</f>
        <v/>
      </c>
      <c r="X24" s="43">
        <f>IFERROR(IF(V24=0,"",U24/V24),"")</f>
        <v/>
      </c>
      <c r="Y24" s="43">
        <f>IFERROR(IF(N24=0,"",V24/N24),"")</f>
        <v/>
      </c>
      <c r="Z24" s="44">
        <f>IFERROR(IF(Q24=0,"",(C24+G24)/Q24),"")</f>
        <v/>
      </c>
      <c r="AA24" s="42">
        <f>IFERROR(C24+G24,"")</f>
        <v/>
      </c>
      <c r="AB24" s="43">
        <f>IFERROR(IF(AA24=0,"",S24/AA24),"")</f>
        <v/>
      </c>
    </row>
    <row r="25" ht="16.5" customHeight="1">
      <c r="A25" s="26" t="inlineStr">
        <is>
          <t>Saneago</t>
        </is>
      </c>
      <c r="B25" s="27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2">
        <f>IFERROR(C25+D25+G25+H25,"")</f>
        <v/>
      </c>
      <c r="R25" s="42">
        <f>IFERROR(C25+D25+E25+F25+G25+H25,"")</f>
        <v/>
      </c>
      <c r="S25" s="42">
        <f>IFERROR(I25+J25,"")</f>
        <v/>
      </c>
      <c r="T25" s="42">
        <f>IFERROR(Q25-S25,"")</f>
        <v/>
      </c>
      <c r="U25" s="42">
        <f>IFERROR(R25-S25,"")</f>
        <v/>
      </c>
      <c r="V25" s="42">
        <f>IFERROR(L25+M25,"")</f>
        <v/>
      </c>
      <c r="W25" s="43">
        <f>IFERROR(IF(V25=0,"",T25/V25),"")</f>
        <v/>
      </c>
      <c r="X25" s="43">
        <f>IFERROR(IF(V25=0,"",U25/V25),"")</f>
        <v/>
      </c>
      <c r="Y25" s="43">
        <f>IFERROR(IF(N25=0,"",V25/N25),"")</f>
        <v/>
      </c>
      <c r="Z25" s="44">
        <f>IFERROR(IF(Q25=0,"",(C25+G25)/Q25),"")</f>
        <v/>
      </c>
      <c r="AA25" s="42">
        <f>IFERROR(C25+G25,"")</f>
        <v/>
      </c>
      <c r="AB25" s="43">
        <f>IFERROR(IF(AA25=0,"",S25/AA25),"")</f>
        <v/>
      </c>
    </row>
    <row r="26" ht="16.5" customHeight="1">
      <c r="A26" s="15" t="inlineStr">
        <is>
          <t>Vix</t>
        </is>
      </c>
      <c r="B26" s="16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2">
        <f>IFERROR(C26+D26+G26+H26,"")</f>
        <v/>
      </c>
      <c r="R26" s="42">
        <f>IFERROR(C26+D26+E26+F26+G26+H26,"")</f>
        <v/>
      </c>
      <c r="S26" s="42">
        <f>IFERROR(I26+J26,"")</f>
        <v/>
      </c>
      <c r="T26" s="42">
        <f>IFERROR(Q26-S26,"")</f>
        <v/>
      </c>
      <c r="U26" s="42">
        <f>IFERROR(R26-S26,"")</f>
        <v/>
      </c>
      <c r="V26" s="42">
        <f>IFERROR(L26+M26,"")</f>
        <v/>
      </c>
      <c r="W26" s="43">
        <f>IFERROR(IF(V26=0,"",T26/V26),"")</f>
        <v/>
      </c>
      <c r="X26" s="43">
        <f>IFERROR(IF(V26=0,"",U26/V26),"")</f>
        <v/>
      </c>
      <c r="Y26" s="43">
        <f>IFERROR(IF(N26=0,"",V26/N26),"")</f>
        <v/>
      </c>
      <c r="Z26" s="44">
        <f>IFERROR(IF(Q26=0,"",(C26+G26)/Q26),"")</f>
        <v/>
      </c>
      <c r="AA26" s="42">
        <f>IFERROR(C26+G26,"")</f>
        <v/>
      </c>
      <c r="AB26" s="43">
        <f>IFERROR(IF(AA26=0,"",S26/AA26),"")</f>
        <v/>
      </c>
    </row>
    <row r="27" ht="16.5" customHeight="1">
      <c r="A27" s="26" t="inlineStr">
        <is>
          <t>Armac</t>
        </is>
      </c>
      <c r="B27" s="27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2">
        <f>IFERROR(C27+D27+G27+H27,"")</f>
        <v/>
      </c>
      <c r="R27" s="42">
        <f>IFERROR(C27+D27+E27+F27+G27+H27,"")</f>
        <v/>
      </c>
      <c r="S27" s="42">
        <f>IFERROR(I27+J27,"")</f>
        <v/>
      </c>
      <c r="T27" s="42">
        <f>IFERROR(Q27-S27,"")</f>
        <v/>
      </c>
      <c r="U27" s="42">
        <f>IFERROR(R27-S27,"")</f>
        <v/>
      </c>
      <c r="V27" s="42">
        <f>IFERROR(L27+M27,"")</f>
        <v/>
      </c>
      <c r="W27" s="43">
        <f>IFERROR(IF(V27=0,"",T27/V27),"")</f>
        <v/>
      </c>
      <c r="X27" s="43">
        <f>IFERROR(IF(V27=0,"",U27/V27),"")</f>
        <v/>
      </c>
      <c r="Y27" s="43">
        <f>IFERROR(IF(N27=0,"",V27/N27),"")</f>
        <v/>
      </c>
      <c r="Z27" s="44">
        <f>IFERROR(IF(Q27=0,"",(C27+G27)/Q27),"")</f>
        <v/>
      </c>
      <c r="AA27" s="42">
        <f>IFERROR(C27+G27,"")</f>
        <v/>
      </c>
      <c r="AB27" s="43">
        <f>IFERROR(IF(AA27=0,"",S27/AA27),"")</f>
        <v/>
      </c>
    </row>
    <row r="28" ht="16.5" customHeight="1">
      <c r="A28" s="15" t="inlineStr">
        <is>
          <t>Unidas</t>
        </is>
      </c>
      <c r="B28" s="16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2">
        <f>IFERROR(C28+D28+G28+H28,"")</f>
        <v/>
      </c>
      <c r="R28" s="42">
        <f>IFERROR(C28+D28+E28+F28+G28+H28,"")</f>
        <v/>
      </c>
      <c r="S28" s="42">
        <f>IFERROR(I28+J28,"")</f>
        <v/>
      </c>
      <c r="T28" s="42">
        <f>IFERROR(Q28-S28,"")</f>
        <v/>
      </c>
      <c r="U28" s="42">
        <f>IFERROR(R28-S28,"")</f>
        <v/>
      </c>
      <c r="V28" s="42">
        <f>IFERROR(L28+M28,"")</f>
        <v/>
      </c>
      <c r="W28" s="43">
        <f>IFERROR(IF(V28=0,"",T28/V28),"")</f>
        <v/>
      </c>
      <c r="X28" s="43">
        <f>IFERROR(IF(V28=0,"",U28/V28),"")</f>
        <v/>
      </c>
      <c r="Y28" s="43">
        <f>IFERROR(IF(N28=0,"",V28/N28),"")</f>
        <v/>
      </c>
      <c r="Z28" s="44">
        <f>IFERROR(IF(Q28=0,"",(C28+G28)/Q28),"")</f>
        <v/>
      </c>
      <c r="AA28" s="42">
        <f>IFERROR(C28+G28,"")</f>
        <v/>
      </c>
      <c r="AB28" s="43">
        <f>IFERROR(IF(AA28=0,"",S28/AA28),"")</f>
        <v/>
      </c>
    </row>
    <row r="29" ht="16.5" customHeight="1">
      <c r="A29" s="26" t="inlineStr">
        <is>
          <t>Mills</t>
        </is>
      </c>
      <c r="B29" s="27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2">
        <f>IFERROR(C29+D29+G29+H29,"")</f>
        <v/>
      </c>
      <c r="R29" s="42">
        <f>IFERROR(C29+D29+E29+F29+G29+H29,"")</f>
        <v/>
      </c>
      <c r="S29" s="42">
        <f>IFERROR(I29+J29,"")</f>
        <v/>
      </c>
      <c r="T29" s="42">
        <f>IFERROR(Q29-S29,"")</f>
        <v/>
      </c>
      <c r="U29" s="42">
        <f>IFERROR(R29-S29,"")</f>
        <v/>
      </c>
      <c r="V29" s="42">
        <f>IFERROR(L29+M29,"")</f>
        <v/>
      </c>
      <c r="W29" s="43">
        <f>IFERROR(IF(V29=0,"",T29/V29),"")</f>
        <v/>
      </c>
      <c r="X29" s="43">
        <f>IFERROR(IF(V29=0,"",U29/V29),"")</f>
        <v/>
      </c>
      <c r="Y29" s="43">
        <f>IFERROR(IF(N29=0,"",V29/N29),"")</f>
        <v/>
      </c>
      <c r="Z29" s="44">
        <f>IFERROR(IF(Q29=0,"",(C29+G29)/Q29),"")</f>
        <v/>
      </c>
      <c r="AA29" s="42">
        <f>IFERROR(C29+G29,"")</f>
        <v/>
      </c>
      <c r="AB29" s="43">
        <f>IFERROR(IF(AA29=0,"",S29/AA29),"")</f>
        <v/>
      </c>
    </row>
    <row r="30" ht="16.5" customHeight="1">
      <c r="A30" s="15" t="inlineStr">
        <is>
          <t>Priner</t>
        </is>
      </c>
      <c r="B30" s="16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2">
        <f>IFERROR(C30+D30+G30+H30,"")</f>
        <v/>
      </c>
      <c r="R30" s="42">
        <f>IFERROR(C30+D30+E30+F30+G30+H30,"")</f>
        <v/>
      </c>
      <c r="S30" s="42">
        <f>IFERROR(I30+J30,"")</f>
        <v/>
      </c>
      <c r="T30" s="42">
        <f>IFERROR(Q30-S30,"")</f>
        <v/>
      </c>
      <c r="U30" s="42">
        <f>IFERROR(R30-S30,"")</f>
        <v/>
      </c>
      <c r="V30" s="42">
        <f>IFERROR(L30+M30,"")</f>
        <v/>
      </c>
      <c r="W30" s="43">
        <f>IFERROR(IF(V30=0,"",T30/V30),"")</f>
        <v/>
      </c>
      <c r="X30" s="43">
        <f>IFERROR(IF(V30=0,"",U30/V30),"")</f>
        <v/>
      </c>
      <c r="Y30" s="43">
        <f>IFERROR(IF(N30=0,"",V30/N30),"")</f>
        <v/>
      </c>
      <c r="Z30" s="44">
        <f>IFERROR(IF(Q30=0,"",(C30+G30)/Q30),"")</f>
        <v/>
      </c>
      <c r="AA30" s="42">
        <f>IFERROR(C30+G30,"")</f>
        <v/>
      </c>
      <c r="AB30" s="43">
        <f>IFERROR(IF(AA30=0,"",S30/AA30),"")</f>
        <v/>
      </c>
    </row>
    <row r="31" ht="16.5" customHeight="1">
      <c r="A31" s="26" t="inlineStr">
        <is>
          <t>Aura Minerals</t>
        </is>
      </c>
      <c r="B31" s="27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2">
        <f>IFERROR(C31+D31+G31+H31,"")</f>
        <v/>
      </c>
      <c r="R31" s="42">
        <f>IFERROR(C31+D31+E31+F31+G31+H31,"")</f>
        <v/>
      </c>
      <c r="S31" s="42">
        <f>IFERROR(I31+J31,"")</f>
        <v/>
      </c>
      <c r="T31" s="42">
        <f>IFERROR(Q31-S31,"")</f>
        <v/>
      </c>
      <c r="U31" s="42">
        <f>IFERROR(R31-S31,"")</f>
        <v/>
      </c>
      <c r="V31" s="42">
        <f>IFERROR(L31+M31,"")</f>
        <v/>
      </c>
      <c r="W31" s="43">
        <f>IFERROR(IF(V31=0,"",T31/V31),"")</f>
        <v/>
      </c>
      <c r="X31" s="43">
        <f>IFERROR(IF(V31=0,"",U31/V31),"")</f>
        <v/>
      </c>
      <c r="Y31" s="43">
        <f>IFERROR(IF(N31=0,"",V31/N31),"")</f>
        <v/>
      </c>
      <c r="Z31" s="44">
        <f>IFERROR(IF(Q31=0,"",(C31+G31)/Q31),"")</f>
        <v/>
      </c>
      <c r="AA31" s="42">
        <f>IFERROR(C31+G31,"")</f>
        <v/>
      </c>
      <c r="AB31" s="43">
        <f>IFERROR(IF(AA31=0,"",S31/AA31),"")</f>
        <v/>
      </c>
    </row>
    <row r="32" ht="16.5" customHeight="1">
      <c r="A32" s="15" t="inlineStr">
        <is>
          <t>Vale</t>
        </is>
      </c>
      <c r="B32" s="16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2">
        <f>IFERROR(C32+D32+G32+H32,"")</f>
        <v/>
      </c>
      <c r="R32" s="42">
        <f>IFERROR(C32+D32+E32+F32+G32+H32,"")</f>
        <v/>
      </c>
      <c r="S32" s="42">
        <f>IFERROR(I32+J32,"")</f>
        <v/>
      </c>
      <c r="T32" s="42">
        <f>IFERROR(Q32-S32,"")</f>
        <v/>
      </c>
      <c r="U32" s="42">
        <f>IFERROR(R32-S32,"")</f>
        <v/>
      </c>
      <c r="V32" s="42">
        <f>IFERROR(L32+M32,"")</f>
        <v/>
      </c>
      <c r="W32" s="43">
        <f>IFERROR(IF(V32=0,"",T32/V32),"")</f>
        <v/>
      </c>
      <c r="X32" s="43">
        <f>IFERROR(IF(V32=0,"",U32/V32),"")</f>
        <v/>
      </c>
      <c r="Y32" s="43">
        <f>IFERROR(IF(N32=0,"",V32/N32),"")</f>
        <v/>
      </c>
      <c r="Z32" s="44">
        <f>IFERROR(IF(Q32=0,"",(C32+G32)/Q32),"")</f>
        <v/>
      </c>
      <c r="AA32" s="42">
        <f>IFERROR(C32+G32,"")</f>
        <v/>
      </c>
      <c r="AB32" s="43">
        <f>IFERROR(IF(AA32=0,"",S32/AA32),"")</f>
        <v/>
      </c>
    </row>
    <row r="33" ht="16.5" customHeight="1">
      <c r="A33" s="26" t="inlineStr">
        <is>
          <t>Rede D'Or</t>
        </is>
      </c>
      <c r="B33" s="27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2">
        <f>IFERROR(C33+D33+G33+H33,"")</f>
        <v/>
      </c>
      <c r="R33" s="42">
        <f>IFERROR(C33+D33+E33+F33+G33+H33,"")</f>
        <v/>
      </c>
      <c r="S33" s="42">
        <f>IFERROR(I33+J33,"")</f>
        <v/>
      </c>
      <c r="T33" s="42">
        <f>IFERROR(Q33-S33,"")</f>
        <v/>
      </c>
      <c r="U33" s="42">
        <f>IFERROR(R33-S33,"")</f>
        <v/>
      </c>
      <c r="V33" s="42">
        <f>IFERROR(L33+M33,"")</f>
        <v/>
      </c>
      <c r="W33" s="43">
        <f>IFERROR(IF(V33=0,"",T33/V33),"")</f>
        <v/>
      </c>
      <c r="X33" s="43">
        <f>IFERROR(IF(V33=0,"",U33/V33),"")</f>
        <v/>
      </c>
      <c r="Y33" s="43">
        <f>IFERROR(IF(N33=0,"",V33/N33),"")</f>
        <v/>
      </c>
      <c r="Z33" s="44">
        <f>IFERROR(IF(Q33=0,"",(C33+G33)/Q33),"")</f>
        <v/>
      </c>
      <c r="AA33" s="42">
        <f>IFERROR(C33+G33,"")</f>
        <v/>
      </c>
      <c r="AB33" s="43">
        <f>IFERROR(IF(AA33=0,"",S33/AA33),"")</f>
        <v/>
      </c>
    </row>
    <row r="34" ht="16.5" customHeight="1">
      <c r="A34" s="15" t="inlineStr">
        <is>
          <t>GSH</t>
        </is>
      </c>
      <c r="B34" s="16" t="n"/>
      <c r="C34" s="41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2">
        <f>IFERROR(C34+D34+G34+H34,"")</f>
        <v/>
      </c>
      <c r="R34" s="42">
        <f>IFERROR(C34+D34+E34+F34+G34+H34,"")</f>
        <v/>
      </c>
      <c r="S34" s="42">
        <f>IFERROR(I34+J34,"")</f>
        <v/>
      </c>
      <c r="T34" s="42">
        <f>IFERROR(Q34-S34,"")</f>
        <v/>
      </c>
      <c r="U34" s="42">
        <f>IFERROR(R34-S34,"")</f>
        <v/>
      </c>
      <c r="V34" s="42">
        <f>IFERROR(L34+M34,"")</f>
        <v/>
      </c>
      <c r="W34" s="43">
        <f>IFERROR(IF(V34=0,"",T34/V34),"")</f>
        <v/>
      </c>
      <c r="X34" s="43">
        <f>IFERROR(IF(V34=0,"",U34/V34),"")</f>
        <v/>
      </c>
      <c r="Y34" s="43">
        <f>IFERROR(IF(N34=0,"",V34/N34),"")</f>
        <v/>
      </c>
      <c r="Z34" s="44">
        <f>IFERROR(IF(Q34=0,"",(C34+G34)/Q34),"")</f>
        <v/>
      </c>
      <c r="AA34" s="42">
        <f>IFERROR(C34+G34,"")</f>
        <v/>
      </c>
      <c r="AB34" s="43">
        <f>IFERROR(IF(AA34=0,"",S34/AA34),"")</f>
        <v/>
      </c>
    </row>
    <row r="35" ht="16.5" customHeight="1">
      <c r="A35" s="26" t="inlineStr">
        <is>
          <t>Hapvida</t>
        </is>
      </c>
      <c r="B35" s="27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2">
        <f>IFERROR(C35+D35+G35+H35,"")</f>
        <v/>
      </c>
      <c r="R35" s="42">
        <f>IFERROR(C35+D35+E35+F35+G35+H35,"")</f>
        <v/>
      </c>
      <c r="S35" s="42">
        <f>IFERROR(I35+J35,"")</f>
        <v/>
      </c>
      <c r="T35" s="42">
        <f>IFERROR(Q35-S35,"")</f>
        <v/>
      </c>
      <c r="U35" s="42">
        <f>IFERROR(R35-S35,"")</f>
        <v/>
      </c>
      <c r="V35" s="42">
        <f>IFERROR(L35+M35,"")</f>
        <v/>
      </c>
      <c r="W35" s="43">
        <f>IFERROR(IF(V35=0,"",T35/V35),"")</f>
        <v/>
      </c>
      <c r="X35" s="43">
        <f>IFERROR(IF(V35=0,"",U35/V35),"")</f>
        <v/>
      </c>
      <c r="Y35" s="43">
        <f>IFERROR(IF(N35=0,"",V35/N35),"")</f>
        <v/>
      </c>
      <c r="Z35" s="44">
        <f>IFERROR(IF(Q35=0,"",(C35+G35)/Q35),"")</f>
        <v/>
      </c>
      <c r="AA35" s="42">
        <f>IFERROR(C35+G35,"")</f>
        <v/>
      </c>
      <c r="AB35" s="43">
        <f>IFERROR(IF(AA35=0,"",S35/AA35),"")</f>
        <v/>
      </c>
    </row>
    <row r="36" ht="16.5" customHeight="1">
      <c r="A36" s="15" t="inlineStr">
        <is>
          <t>Klabin</t>
        </is>
      </c>
      <c r="B36" s="16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2">
        <f>IFERROR(C36+D36+G36+H36,"")</f>
        <v/>
      </c>
      <c r="R36" s="42">
        <f>IFERROR(C36+D36+E36+F36+G36+H36,"")</f>
        <v/>
      </c>
      <c r="S36" s="42">
        <f>IFERROR(I36+J36,"")</f>
        <v/>
      </c>
      <c r="T36" s="42">
        <f>IFERROR(Q36-S36,"")</f>
        <v/>
      </c>
      <c r="U36" s="42">
        <f>IFERROR(R36-S36,"")</f>
        <v/>
      </c>
      <c r="V36" s="42">
        <f>IFERROR(L36+M36,"")</f>
        <v/>
      </c>
      <c r="W36" s="43">
        <f>IFERROR(IF(V36=0,"",T36/V36),"")</f>
        <v/>
      </c>
      <c r="X36" s="43">
        <f>IFERROR(IF(V36=0,"",U36/V36),"")</f>
        <v/>
      </c>
      <c r="Y36" s="43">
        <f>IFERROR(IF(N36=0,"",V36/N36),"")</f>
        <v/>
      </c>
      <c r="Z36" s="44">
        <f>IFERROR(IF(Q36=0,"",(C36+G36)/Q36),"")</f>
        <v/>
      </c>
      <c r="AA36" s="42">
        <f>IFERROR(C36+G36,"")</f>
        <v/>
      </c>
      <c r="AB36" s="43">
        <f>IFERROR(IF(AA36=0,"",S36/AA36),"")</f>
        <v/>
      </c>
    </row>
    <row r="37" ht="16.5" customHeight="1">
      <c r="A37" s="26" t="inlineStr">
        <is>
          <t>Unipar</t>
        </is>
      </c>
      <c r="B37" s="27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2">
        <f>IFERROR(C37+D37+G37+H37,"")</f>
        <v/>
      </c>
      <c r="R37" s="42">
        <f>IFERROR(C37+D37+E37+F37+G37+H37,"")</f>
        <v/>
      </c>
      <c r="S37" s="42">
        <f>IFERROR(I37+J37,"")</f>
        <v/>
      </c>
      <c r="T37" s="42">
        <f>IFERROR(Q37-S37,"")</f>
        <v/>
      </c>
      <c r="U37" s="42">
        <f>IFERROR(R37-S37,"")</f>
        <v/>
      </c>
      <c r="V37" s="42">
        <f>IFERROR(L37+M37,"")</f>
        <v/>
      </c>
      <c r="W37" s="43">
        <f>IFERROR(IF(V37=0,"",T37/V37),"")</f>
        <v/>
      </c>
      <c r="X37" s="43">
        <f>IFERROR(IF(V37=0,"",U37/V37),"")</f>
        <v/>
      </c>
      <c r="Y37" s="43">
        <f>IFERROR(IF(N37=0,"",V37/N37),"")</f>
        <v/>
      </c>
      <c r="Z37" s="44">
        <f>IFERROR(IF(Q37=0,"",(C37+G37)/Q37),"")</f>
        <v/>
      </c>
      <c r="AA37" s="42">
        <f>IFERROR(C37+G37,"")</f>
        <v/>
      </c>
      <c r="AB37" s="43">
        <f>IFERROR(IF(AA37=0,"",S37/AA37),"")</f>
        <v/>
      </c>
    </row>
    <row r="38" ht="16.5" customHeight="1">
      <c r="A38" s="15" t="inlineStr">
        <is>
          <t>São Martinho</t>
        </is>
      </c>
      <c r="B38" s="16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2">
        <f>IFERROR(C38+D38+G38+H38,"")</f>
        <v/>
      </c>
      <c r="R38" s="42">
        <f>IFERROR(C38+D38+E38+F38+G38+H38,"")</f>
        <v/>
      </c>
      <c r="S38" s="42">
        <f>IFERROR(I38+J38,"")</f>
        <v/>
      </c>
      <c r="T38" s="42">
        <f>IFERROR(Q38-S38,"")</f>
        <v/>
      </c>
      <c r="U38" s="42">
        <f>IFERROR(R38-S38,"")</f>
        <v/>
      </c>
      <c r="V38" s="42">
        <f>IFERROR(L38+M38,"")</f>
        <v/>
      </c>
      <c r="W38" s="43">
        <f>IFERROR(IF(V38=0,"",T38/V38),"")</f>
        <v/>
      </c>
      <c r="X38" s="43">
        <f>IFERROR(IF(V38=0,"",U38/V38),"")</f>
        <v/>
      </c>
      <c r="Y38" s="43">
        <f>IFERROR(IF(N38=0,"",V38/N38),"")</f>
        <v/>
      </c>
      <c r="Z38" s="44">
        <f>IFERROR(IF(Q38=0,"",(C38+G38)/Q38),"")</f>
        <v/>
      </c>
      <c r="AA38" s="42">
        <f>IFERROR(C38+G38,"")</f>
        <v/>
      </c>
      <c r="AB38" s="43">
        <f>IFERROR(IF(AA38=0,"",S38/AA38),"")</f>
        <v/>
      </c>
    </row>
    <row r="39" ht="16.5" customHeight="1">
      <c r="A39" s="26" t="inlineStr">
        <is>
          <t>Adecoagro</t>
        </is>
      </c>
      <c r="B39" s="27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2">
        <f>IFERROR(C39+D39+G39+H39,"")</f>
        <v/>
      </c>
      <c r="R39" s="42">
        <f>IFERROR(C39+D39+E39+F39+G39+H39,"")</f>
        <v/>
      </c>
      <c r="S39" s="42">
        <f>IFERROR(I39+J39,"")</f>
        <v/>
      </c>
      <c r="T39" s="42">
        <f>IFERROR(Q39-S39,"")</f>
        <v/>
      </c>
      <c r="U39" s="42">
        <f>IFERROR(R39-S39,"")</f>
        <v/>
      </c>
      <c r="V39" s="42">
        <f>IFERROR(L39+M39,"")</f>
        <v/>
      </c>
      <c r="W39" s="43">
        <f>IFERROR(IF(V39=0,"",T39/V39),"")</f>
        <v/>
      </c>
      <c r="X39" s="43">
        <f>IFERROR(IF(V39=0,"",U39/V39),"")</f>
        <v/>
      </c>
      <c r="Y39" s="43">
        <f>IFERROR(IF(N39=0,"",V39/N39),"")</f>
        <v/>
      </c>
      <c r="Z39" s="44">
        <f>IFERROR(IF(Q39=0,"",(C39+G39)/Q39),"")</f>
        <v/>
      </c>
      <c r="AA39" s="42">
        <f>IFERROR(C39+G39,"")</f>
        <v/>
      </c>
      <c r="AB39" s="43">
        <f>IFERROR(IF(AA39=0,"",S39/AA39),"")</f>
        <v/>
      </c>
    </row>
    <row r="40" ht="16.5" customHeight="1">
      <c r="A40" s="15" t="inlineStr">
        <is>
          <t>BRF</t>
        </is>
      </c>
      <c r="B40" s="16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2">
        <f>IFERROR(C40+D40+G40+H40,"")</f>
        <v/>
      </c>
      <c r="R40" s="42">
        <f>IFERROR(C40+D40+E40+F40+G40+H40,"")</f>
        <v/>
      </c>
      <c r="S40" s="42">
        <f>IFERROR(I40+J40,"")</f>
        <v/>
      </c>
      <c r="T40" s="42">
        <f>IFERROR(Q40-S40,"")</f>
        <v/>
      </c>
      <c r="U40" s="42">
        <f>IFERROR(R40-S40,"")</f>
        <v/>
      </c>
      <c r="V40" s="42">
        <f>IFERROR(L40+M40,"")</f>
        <v/>
      </c>
      <c r="W40" s="43">
        <f>IFERROR(IF(V40=0,"",T40/V40),"")</f>
        <v/>
      </c>
      <c r="X40" s="43">
        <f>IFERROR(IF(V40=0,"",U40/V40),"")</f>
        <v/>
      </c>
      <c r="Y40" s="43">
        <f>IFERROR(IF(N40=0,"",V40/N40),"")</f>
        <v/>
      </c>
      <c r="Z40" s="44">
        <f>IFERROR(IF(Q40=0,"",(C40+G40)/Q40),"")</f>
        <v/>
      </c>
      <c r="AA40" s="42">
        <f>IFERROR(C40+G40,"")</f>
        <v/>
      </c>
      <c r="AB40" s="43">
        <f>IFERROR(IF(AA40=0,"",S40/AA40),"")</f>
        <v/>
      </c>
    </row>
    <row r="41" ht="16.5" customHeight="1">
      <c r="A41" s="26" t="inlineStr">
        <is>
          <t>Ânima</t>
        </is>
      </c>
      <c r="B41" s="69" t="inlineStr">
        <is>
          <t>1T26 LTM</t>
        </is>
      </c>
      <c r="C41" s="70" t="n">
        <v>474.8</v>
      </c>
      <c r="D41" s="70" t="n">
        <v>4024.3</v>
      </c>
      <c r="E41" s="70" t="n">
        <v>132.6</v>
      </c>
      <c r="F41" s="70" t="n">
        <v>1243.3</v>
      </c>
      <c r="G41" s="45" t="n"/>
      <c r="H41" s="45" t="n"/>
      <c r="I41" s="70" t="n">
        <v>105.1</v>
      </c>
      <c r="J41" s="70" t="n">
        <v>1627.1</v>
      </c>
      <c r="K41" s="70" t="n">
        <v>4109.4</v>
      </c>
      <c r="L41" s="70" t="n">
        <v>1023</v>
      </c>
      <c r="M41" s="70" t="n">
        <v>420.8</v>
      </c>
      <c r="N41" s="70" t="n">
        <v>887.3</v>
      </c>
      <c r="O41" s="70" t="n">
        <v>272.7</v>
      </c>
      <c r="P41" s="70" t="n">
        <v>220.8</v>
      </c>
      <c r="Q41" s="42">
        <f>IFERROR(C41+D41+G41+H41,"")</f>
        <v/>
      </c>
      <c r="R41" s="42">
        <f>IFERROR(C41+D41+E41+F41+G41+H41,"")</f>
        <v/>
      </c>
      <c r="S41" s="42">
        <f>IFERROR(I41+J41,"")</f>
        <v/>
      </c>
      <c r="T41" s="42">
        <f>IFERROR(Q41-S41,"")</f>
        <v/>
      </c>
      <c r="U41" s="42">
        <f>IFERROR(R41-S41,"")</f>
        <v/>
      </c>
      <c r="V41" s="42">
        <f>IFERROR(L41+M41,"")</f>
        <v/>
      </c>
      <c r="W41" s="43">
        <f>IFERROR(IF(V41=0,"",T41/V41),"")</f>
        <v/>
      </c>
      <c r="X41" s="43">
        <f>IFERROR(IF(V41=0,"",U41/V41),"")</f>
        <v/>
      </c>
      <c r="Y41" s="43">
        <f>IFERROR(IF(N41=0,"",V41/N41),"")</f>
        <v/>
      </c>
      <c r="Z41" s="44">
        <f>IFERROR(IF(Q41=0,"",(C41+G41)/Q41),"")</f>
        <v/>
      </c>
      <c r="AA41" s="42">
        <f>IFERROR(C41+G41,"")</f>
        <v/>
      </c>
      <c r="AB41" s="43">
        <f>IFERROR(IF(AA41=0,"",S41/AA41),"")</f>
        <v/>
      </c>
    </row>
    <row r="42" ht="16.5" customHeight="1">
      <c r="A42" s="15" t="inlineStr">
        <is>
          <t>Inspiralli</t>
        </is>
      </c>
      <c r="B42" s="16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2">
        <f>IFERROR(C42+D42+G42+H42,"")</f>
        <v/>
      </c>
      <c r="R42" s="42">
        <f>IFERROR(C42+D42+E42+F42+G42+H42,"")</f>
        <v/>
      </c>
      <c r="S42" s="42">
        <f>IFERROR(I42+J42,"")</f>
        <v/>
      </c>
      <c r="T42" s="42">
        <f>IFERROR(Q42-S42,"")</f>
        <v/>
      </c>
      <c r="U42" s="42">
        <f>IFERROR(R42-S42,"")</f>
        <v/>
      </c>
      <c r="V42" s="42">
        <f>IFERROR(L42+M42,"")</f>
        <v/>
      </c>
      <c r="W42" s="43">
        <f>IFERROR(IF(V42=0,"",T42/V42),"")</f>
        <v/>
      </c>
      <c r="X42" s="43">
        <f>IFERROR(IF(V42=0,"",U42/V42),"")</f>
        <v/>
      </c>
      <c r="Y42" s="43">
        <f>IFERROR(IF(N42=0,"",V42/N42),"")</f>
        <v/>
      </c>
      <c r="Z42" s="44">
        <f>IFERROR(IF(Q42=0,"",(C42+G42)/Q42),"")</f>
        <v/>
      </c>
      <c r="AA42" s="42">
        <f>IFERROR(C42+G42,"")</f>
        <v/>
      </c>
      <c r="AB42" s="43">
        <f>IFERROR(IF(AA42=0,"",S42/AA42),"")</f>
        <v/>
      </c>
    </row>
    <row r="43" ht="16.5" customHeight="1">
      <c r="A43" s="26" t="inlineStr">
        <is>
          <t>Yduqs</t>
        </is>
      </c>
      <c r="B43" s="69" t="inlineStr">
        <is>
          <t>1T26 LTM</t>
        </is>
      </c>
      <c r="C43" s="70" t="n">
        <v>582.3</v>
      </c>
      <c r="D43" s="70" t="n">
        <v>3184.4</v>
      </c>
      <c r="E43" s="70" t="n">
        <v>264.6</v>
      </c>
      <c r="F43" s="70" t="n">
        <v>1338.3</v>
      </c>
      <c r="G43" s="45" t="n"/>
      <c r="H43" s="45" t="n"/>
      <c r="I43" s="70" t="n">
        <v>571.4</v>
      </c>
      <c r="J43" s="70" t="n">
        <v>509.8</v>
      </c>
      <c r="K43" s="70" t="n">
        <v>5543.4</v>
      </c>
      <c r="L43" s="70" t="n">
        <v>822.6</v>
      </c>
      <c r="M43" s="70" t="n">
        <v>804.8</v>
      </c>
      <c r="N43" s="70" t="n">
        <v>937</v>
      </c>
      <c r="O43" s="70" t="n">
        <v>372.6</v>
      </c>
      <c r="P43" s="70" t="n">
        <v>460.3</v>
      </c>
      <c r="Q43" s="42">
        <f>IFERROR(C43+D43+G43+H43,"")</f>
        <v/>
      </c>
      <c r="R43" s="42">
        <f>IFERROR(C43+D43+E43+F43+G43+H43,"")</f>
        <v/>
      </c>
      <c r="S43" s="42">
        <f>IFERROR(I43+J43,"")</f>
        <v/>
      </c>
      <c r="T43" s="42">
        <f>IFERROR(Q43-S43,"")</f>
        <v/>
      </c>
      <c r="U43" s="42">
        <f>IFERROR(R43-S43,"")</f>
        <v/>
      </c>
      <c r="V43" s="42">
        <f>IFERROR(L43+M43,"")</f>
        <v/>
      </c>
      <c r="W43" s="43">
        <f>IFERROR(IF(V43=0,"",T43/V43),"")</f>
        <v/>
      </c>
      <c r="X43" s="43">
        <f>IFERROR(IF(V43=0,"",U43/V43),"")</f>
        <v/>
      </c>
      <c r="Y43" s="43">
        <f>IFERROR(IF(N43=0,"",V43/N43),"")</f>
        <v/>
      </c>
      <c r="Z43" s="44">
        <f>IFERROR(IF(Q43=0,"",(C43+G43)/Q43),"")</f>
        <v/>
      </c>
      <c r="AA43" s="42">
        <f>IFERROR(C43+G43,"")</f>
        <v/>
      </c>
      <c r="AB43" s="43">
        <f>IFERROR(IF(AA43=0,"",S43/AA43),"")</f>
        <v/>
      </c>
    </row>
    <row r="44" ht="16.5" customHeight="1">
      <c r="A44" s="15" t="inlineStr">
        <is>
          <t>Afya</t>
        </is>
      </c>
      <c r="B44" s="69" t="inlineStr">
        <is>
          <t>1T26 LTM</t>
        </is>
      </c>
      <c r="C44" s="70" t="n">
        <v>132.1</v>
      </c>
      <c r="D44" s="70" t="n">
        <v>1992.4</v>
      </c>
      <c r="E44" s="70" t="n">
        <v>55.5</v>
      </c>
      <c r="F44" s="70" t="n">
        <v>1021.6</v>
      </c>
      <c r="G44" s="70" t="n">
        <v>57.3</v>
      </c>
      <c r="H44" s="70" t="n">
        <v>302.3</v>
      </c>
      <c r="I44" s="70" t="n">
        <v>1332.9</v>
      </c>
      <c r="J44" s="41" t="n"/>
      <c r="K44" s="70" t="n">
        <v>3773.6</v>
      </c>
      <c r="L44" s="70" t="n">
        <v>1234.2</v>
      </c>
      <c r="M44" s="70" t="n">
        <v>374.6</v>
      </c>
      <c r="N44" s="41" t="n"/>
      <c r="O44" s="41" t="n"/>
      <c r="P44" s="70" t="n">
        <v>293</v>
      </c>
      <c r="Q44" s="42">
        <f>IFERROR(C44+D44+G44+H44,"")</f>
        <v/>
      </c>
      <c r="R44" s="42">
        <f>IFERROR(C44+D44+E44+F44+G44+H44,"")</f>
        <v/>
      </c>
      <c r="S44" s="42">
        <f>IFERROR(I44+J44,"")</f>
        <v/>
      </c>
      <c r="T44" s="42">
        <f>IFERROR(Q44-S44,"")</f>
        <v/>
      </c>
      <c r="U44" s="42">
        <f>IFERROR(R44-S44,"")</f>
        <v/>
      </c>
      <c r="V44" s="42">
        <f>IFERROR(L44+M44,"")</f>
        <v/>
      </c>
      <c r="W44" s="43">
        <f>IFERROR(IF(V44=0,"",T44/V44),"")</f>
        <v/>
      </c>
      <c r="X44" s="43">
        <f>IFERROR(IF(V44=0,"",U44/V44),"")</f>
        <v/>
      </c>
      <c r="Y44" s="43">
        <f>IFERROR(IF(N44=0,"",V44/N44),"")</f>
        <v/>
      </c>
      <c r="Z44" s="44">
        <f>IFERROR(IF(Q44=0,"",(C44+G44)/Q44),"")</f>
        <v/>
      </c>
      <c r="AA44" s="42">
        <f>IFERROR(C44+G44,"")</f>
        <v/>
      </c>
      <c r="AB44" s="43">
        <f>IFERROR(IF(AA44=0,"",S44/AA44),"")</f>
        <v/>
      </c>
    </row>
    <row r="45" ht="16.5" customHeight="1">
      <c r="A45" s="26" t="inlineStr">
        <is>
          <t>Cruzeiro do Sul</t>
        </is>
      </c>
      <c r="B45" s="27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2">
        <f>IFERROR(C45+D45+G45+H45,"")</f>
        <v/>
      </c>
      <c r="R45" s="42">
        <f>IFERROR(C45+D45+E45+F45+G45+H45,"")</f>
        <v/>
      </c>
      <c r="S45" s="42">
        <f>IFERROR(I45+J45,"")</f>
        <v/>
      </c>
      <c r="T45" s="42">
        <f>IFERROR(Q45-S45,"")</f>
        <v/>
      </c>
      <c r="U45" s="42">
        <f>IFERROR(R45-S45,"")</f>
        <v/>
      </c>
      <c r="V45" s="42">
        <f>IFERROR(L45+M45,"")</f>
        <v/>
      </c>
      <c r="W45" s="43">
        <f>IFERROR(IF(V45=0,"",T45/V45),"")</f>
        <v/>
      </c>
      <c r="X45" s="43">
        <f>IFERROR(IF(V45=0,"",U45/V45),"")</f>
        <v/>
      </c>
      <c r="Y45" s="43">
        <f>IFERROR(IF(N45=0,"",V45/N45),"")</f>
        <v/>
      </c>
      <c r="Z45" s="44">
        <f>IFERROR(IF(Q45=0,"",(C45+G45)/Q45),"")</f>
        <v/>
      </c>
      <c r="AA45" s="42">
        <f>IFERROR(C45+G45,"")</f>
        <v/>
      </c>
      <c r="AB45" s="43">
        <f>IFERROR(IF(AA45=0,"",S45/AA45),"")</f>
        <v/>
      </c>
    </row>
    <row r="46" ht="16.5" customHeight="1">
      <c r="A46" s="15" t="inlineStr">
        <is>
          <t>Cogna</t>
        </is>
      </c>
      <c r="B46" s="16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2">
        <f>IFERROR(C46+D46+G46+H46,"")</f>
        <v/>
      </c>
      <c r="R46" s="42">
        <f>IFERROR(C46+D46+E46+F46+G46+H46,"")</f>
        <v/>
      </c>
      <c r="S46" s="42">
        <f>IFERROR(I46+J46,"")</f>
        <v/>
      </c>
      <c r="T46" s="42">
        <f>IFERROR(Q46-S46,"")</f>
        <v/>
      </c>
      <c r="U46" s="42">
        <f>IFERROR(R46-S46,"")</f>
        <v/>
      </c>
      <c r="V46" s="42">
        <f>IFERROR(L46+M46,"")</f>
        <v/>
      </c>
      <c r="W46" s="43">
        <f>IFERROR(IF(V46=0,"",T46/V46),"")</f>
        <v/>
      </c>
      <c r="X46" s="43">
        <f>IFERROR(IF(V46=0,"",U46/V46),"")</f>
        <v/>
      </c>
      <c r="Y46" s="43">
        <f>IFERROR(IF(N46=0,"",V46/N46),"")</f>
        <v/>
      </c>
      <c r="Z46" s="44">
        <f>IFERROR(IF(Q46=0,"",(C46+G46)/Q46),"")</f>
        <v/>
      </c>
      <c r="AA46" s="42">
        <f>IFERROR(C46+G46,"")</f>
        <v/>
      </c>
      <c r="AB46" s="43">
        <f>IFERROR(IF(AA46=0,"",S46/AA46),"")</f>
        <v/>
      </c>
    </row>
    <row r="47" ht="16.5" customHeight="1">
      <c r="A47" s="26" t="inlineStr">
        <is>
          <t>Vitru</t>
        </is>
      </c>
      <c r="B47" s="27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2">
        <f>IFERROR(C47+D47+G47+H47,"")</f>
        <v/>
      </c>
      <c r="R47" s="42">
        <f>IFERROR(C47+D47+E47+F47+G47+H47,"")</f>
        <v/>
      </c>
      <c r="S47" s="42">
        <f>IFERROR(I47+J47,"")</f>
        <v/>
      </c>
      <c r="T47" s="42">
        <f>IFERROR(Q47-S47,"")</f>
        <v/>
      </c>
      <c r="U47" s="42">
        <f>IFERROR(R47-S47,"")</f>
        <v/>
      </c>
      <c r="V47" s="42">
        <f>IFERROR(L47+M47,"")</f>
        <v/>
      </c>
      <c r="W47" s="43">
        <f>IFERROR(IF(V47=0,"",T47/V47),"")</f>
        <v/>
      </c>
      <c r="X47" s="43">
        <f>IFERROR(IF(V47=0,"",U47/V47),"")</f>
        <v/>
      </c>
      <c r="Y47" s="43">
        <f>IFERROR(IF(N47=0,"",V47/N47),"")</f>
        <v/>
      </c>
      <c r="Z47" s="44">
        <f>IFERROR(IF(Q47=0,"",(C47+G47)/Q47),"")</f>
        <v/>
      </c>
      <c r="AA47" s="42">
        <f>IFERROR(C47+G47,"")</f>
        <v/>
      </c>
      <c r="AB47" s="43">
        <f>IFERROR(IF(AA47=0,"",S47/AA47),"")</f>
        <v/>
      </c>
    </row>
    <row r="48" ht="16.5" customHeight="1">
      <c r="A48" s="15" t="inlineStr">
        <is>
          <t>Ser Educacional</t>
        </is>
      </c>
      <c r="B48" s="16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2">
        <f>IFERROR(C48+D48+G48+H48,"")</f>
        <v/>
      </c>
      <c r="R48" s="42">
        <f>IFERROR(C48+D48+E48+F48+G48+H48,"")</f>
        <v/>
      </c>
      <c r="S48" s="42">
        <f>IFERROR(I48+J48,"")</f>
        <v/>
      </c>
      <c r="T48" s="42">
        <f>IFERROR(Q48-S48,"")</f>
        <v/>
      </c>
      <c r="U48" s="42">
        <f>IFERROR(R48-S48,"")</f>
        <v/>
      </c>
      <c r="V48" s="42">
        <f>IFERROR(L48+M48,"")</f>
        <v/>
      </c>
      <c r="W48" s="43">
        <f>IFERROR(IF(V48=0,"",T48/V48),"")</f>
        <v/>
      </c>
      <c r="X48" s="43">
        <f>IFERROR(IF(V48=0,"",U48/V48),"")</f>
        <v/>
      </c>
      <c r="Y48" s="43">
        <f>IFERROR(IF(N48=0,"",V48/N48),"")</f>
        <v/>
      </c>
      <c r="Z48" s="44">
        <f>IFERROR(IF(Q48=0,"",(C48+G48)/Q48),"")</f>
        <v/>
      </c>
      <c r="AA48" s="42">
        <f>IFERROR(C48+G48,"")</f>
        <v/>
      </c>
      <c r="AB48" s="43">
        <f>IFERROR(IF(AA48=0,"",S48/AA48),"")</f>
        <v/>
      </c>
    </row>
    <row r="49" ht="16.5" customHeight="1">
      <c r="A49" s="26" t="inlineStr">
        <is>
          <t>Salta Educação</t>
        </is>
      </c>
      <c r="B49" s="27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2">
        <f>IFERROR(C49+D49+G49+H49,"")</f>
        <v/>
      </c>
      <c r="R49" s="42">
        <f>IFERROR(C49+D49+E49+F49+G49+H49,"")</f>
        <v/>
      </c>
      <c r="S49" s="42">
        <f>IFERROR(I49+J49,"")</f>
        <v/>
      </c>
      <c r="T49" s="42">
        <f>IFERROR(Q49-S49,"")</f>
        <v/>
      </c>
      <c r="U49" s="42">
        <f>IFERROR(R49-S49,"")</f>
        <v/>
      </c>
      <c r="V49" s="42">
        <f>IFERROR(L49+M49,"")</f>
        <v/>
      </c>
      <c r="W49" s="43">
        <f>IFERROR(IF(V49=0,"",T49/V49),"")</f>
        <v/>
      </c>
      <c r="X49" s="43">
        <f>IFERROR(IF(V49=0,"",U49/V49),"")</f>
        <v/>
      </c>
      <c r="Y49" s="43">
        <f>IFERROR(IF(N49=0,"",V49/N49),"")</f>
        <v/>
      </c>
      <c r="Z49" s="44">
        <f>IFERROR(IF(Q49=0,"",(C49+G49)/Q49),"")</f>
        <v/>
      </c>
      <c r="AA49" s="42">
        <f>IFERROR(C49+G49,"")</f>
        <v/>
      </c>
      <c r="AB49" s="43">
        <f>IFERROR(IF(AA49=0,"",S49/AA49),"")</f>
        <v/>
      </c>
    </row>
    <row r="50" ht="16.5" customHeight="1">
      <c r="A50" s="15" t="inlineStr">
        <is>
          <t>Inspira</t>
        </is>
      </c>
      <c r="B50" s="16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2">
        <f>IFERROR(C50+D50+G50+H50,"")</f>
        <v/>
      </c>
      <c r="R50" s="42">
        <f>IFERROR(C50+D50+E50+F50+G50+H50,"")</f>
        <v/>
      </c>
      <c r="S50" s="42">
        <f>IFERROR(I50+J50,"")</f>
        <v/>
      </c>
      <c r="T50" s="42">
        <f>IFERROR(Q50-S50,"")</f>
        <v/>
      </c>
      <c r="U50" s="42">
        <f>IFERROR(R50-S50,"")</f>
        <v/>
      </c>
      <c r="V50" s="42">
        <f>IFERROR(L50+M50,"")</f>
        <v/>
      </c>
      <c r="W50" s="43">
        <f>IFERROR(IF(V50=0,"",T50/V50),"")</f>
        <v/>
      </c>
      <c r="X50" s="43">
        <f>IFERROR(IF(V50=0,"",U50/V50),"")</f>
        <v/>
      </c>
      <c r="Y50" s="43">
        <f>IFERROR(IF(N50=0,"",V50/N50),"")</f>
        <v/>
      </c>
      <c r="Z50" s="44">
        <f>IFERROR(IF(Q50=0,"",(C50+G50)/Q50),"")</f>
        <v/>
      </c>
      <c r="AA50" s="42">
        <f>IFERROR(C50+G50,"")</f>
        <v/>
      </c>
      <c r="AB50" s="43">
        <f>IFERROR(IF(AA50=0,"",S50/AA50),"")</f>
        <v/>
      </c>
    </row>
    <row r="51" ht="16.5" customHeight="1">
      <c r="A51" s="26" t="inlineStr">
        <is>
          <t>Smartfit</t>
        </is>
      </c>
      <c r="B51" s="27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2">
        <f>IFERROR(C51+D51+G51+H51,"")</f>
        <v/>
      </c>
      <c r="R51" s="42">
        <f>IFERROR(C51+D51+E51+F51+G51+H51,"")</f>
        <v/>
      </c>
      <c r="S51" s="42">
        <f>IFERROR(I51+J51,"")</f>
        <v/>
      </c>
      <c r="T51" s="42">
        <f>IFERROR(Q51-S51,"")</f>
        <v/>
      </c>
      <c r="U51" s="42">
        <f>IFERROR(R51-S51,"")</f>
        <v/>
      </c>
      <c r="V51" s="42">
        <f>IFERROR(L51+M51,"")</f>
        <v/>
      </c>
      <c r="W51" s="43">
        <f>IFERROR(IF(V51=0,"",T51/V51),"")</f>
        <v/>
      </c>
      <c r="X51" s="43">
        <f>IFERROR(IF(V51=0,"",U51/V51),"")</f>
        <v/>
      </c>
      <c r="Y51" s="43">
        <f>IFERROR(IF(N51=0,"",V51/N51),"")</f>
        <v/>
      </c>
      <c r="Z51" s="44">
        <f>IFERROR(IF(Q51=0,"",(C51+G51)/Q51),"")</f>
        <v/>
      </c>
      <c r="AA51" s="42">
        <f>IFERROR(C51+G51,"")</f>
        <v/>
      </c>
      <c r="AB51" s="43">
        <f>IFERROR(IF(AA51=0,"",S51/AA51),"")</f>
        <v/>
      </c>
    </row>
    <row r="52" ht="16.5" customHeight="1">
      <c r="A52" s="2" t="inlineStr">
        <is>
          <t>TOTAL  (46 empresas)</t>
        </is>
      </c>
      <c r="B52" s="67" t="n"/>
      <c r="C52" s="37">
        <f>SUM(C6:C51)</f>
        <v/>
      </c>
      <c r="D52" s="37">
        <f>SUM(D6:D51)</f>
        <v/>
      </c>
      <c r="E52" s="37">
        <f>SUM(E6:E51)</f>
        <v/>
      </c>
      <c r="F52" s="37">
        <f>SUM(F6:F51)</f>
        <v/>
      </c>
      <c r="G52" s="37">
        <f>SUM(G6:G51)</f>
        <v/>
      </c>
      <c r="H52" s="37">
        <f>SUM(H6:H51)</f>
        <v/>
      </c>
      <c r="I52" s="37">
        <f>SUM(I6:I51)</f>
        <v/>
      </c>
      <c r="J52" s="37">
        <f>SUM(J6:J51)</f>
        <v/>
      </c>
      <c r="K52" s="37">
        <f>SUM(K6:K51)</f>
        <v/>
      </c>
      <c r="L52" s="37">
        <f>SUM(L6:L51)</f>
        <v/>
      </c>
      <c r="M52" s="37">
        <f>SUM(M6:M51)</f>
        <v/>
      </c>
      <c r="N52" s="37">
        <f>SUM(N6:N51)</f>
        <v/>
      </c>
      <c r="O52" s="37">
        <f>SUM(O6:O51)</f>
        <v/>
      </c>
      <c r="P52" s="37">
        <f>SUM(P6:P51)</f>
        <v/>
      </c>
      <c r="Q52" s="37">
        <f>SUM(Q6:Q51)</f>
        <v/>
      </c>
      <c r="R52" s="37">
        <f>SUM(R6:R51)</f>
        <v/>
      </c>
      <c r="S52" s="37">
        <f>SUM(S6:S51)</f>
        <v/>
      </c>
      <c r="T52" s="37">
        <f>SUM(T6:T51)</f>
        <v/>
      </c>
      <c r="U52" s="37">
        <f>SUM(U6:U51)</f>
        <v/>
      </c>
      <c r="V52" s="37">
        <f>SUM(V6:V51)</f>
        <v/>
      </c>
      <c r="W52" s="37" t="n"/>
      <c r="X52" s="37" t="n"/>
      <c r="Y52" s="37" t="n"/>
      <c r="Z52" s="37" t="n"/>
      <c r="AA52" s="37">
        <f>SUM(AA6:AA51)</f>
        <v/>
      </c>
      <c r="AB52" s="37" t="n"/>
    </row>
  </sheetData>
  <mergeCells count="12">
    <mergeCell ref="A2:AB2"/>
    <mergeCell ref="Q3:R3"/>
    <mergeCell ref="A52:B52"/>
    <mergeCell ref="A1:AB1"/>
    <mergeCell ref="K3:P3"/>
    <mergeCell ref="S3:U3"/>
    <mergeCell ref="C3:H3"/>
    <mergeCell ref="Z3:AB3"/>
    <mergeCell ref="W3:X3"/>
    <mergeCell ref="A3:B3"/>
    <mergeCell ref="A4:AB4"/>
    <mergeCell ref="I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M159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:M1"/>
    </sheetView>
  </sheetViews>
  <sheetFormatPr baseColWidth="10" defaultColWidth="8.6640625" defaultRowHeight="15"/>
  <cols>
    <col width="22" customWidth="1" min="1" max="1"/>
    <col width="18" customWidth="1" min="2" max="2"/>
    <col width="24" customWidth="1" min="3" max="3"/>
    <col width="14" customWidth="1" min="4" max="4"/>
    <col width="13" customWidth="1" min="5" max="5"/>
    <col width="15" customWidth="1" min="6" max="6"/>
    <col width="9" customWidth="1" min="7" max="7"/>
    <col width="13" customWidth="1" min="8" max="9"/>
    <col width="14" customWidth="1" min="10" max="10"/>
    <col width="18" customWidth="1" min="11" max="11"/>
    <col width="15" customWidth="1" min="12" max="12"/>
    <col width="25" customWidth="1" min="13" max="13"/>
  </cols>
  <sheetData>
    <row r="1" ht="15" customHeight="1">
      <c r="A1" s="13" t="inlineStr">
        <is>
          <t>CRONOGRAMA DE AMORTIZAÇÃO  |  POR INSTRUMENTO DE DÍVIDA  |  UMA LINHA = UM INSTRUMENTO</t>
        </is>
      </c>
    </row>
    <row r="2" ht="18" customHeight="1">
      <c r="A2" s="12" t="inlineStr">
        <is>
          <t>IDENTIFICAÇÃO</t>
        </is>
      </c>
      <c r="C2" s="12" t="inlineStr">
        <is>
          <t>INSTRUMENTO</t>
        </is>
      </c>
      <c r="E2" s="12" t="inlineStr">
        <is>
          <t>DADOS DO INSTRUMENTO</t>
        </is>
      </c>
      <c r="M2" s="38" t="n"/>
    </row>
    <row r="3" ht="36" customHeight="1">
      <c r="A3" s="46" t="inlineStr">
        <is>
          <t>Empresa</t>
        </is>
      </c>
      <c r="B3" s="46" t="inlineStr">
        <is>
          <t>Setor</t>
        </is>
      </c>
      <c r="C3" s="46" t="inlineStr">
        <is>
          <t>Tipo de Instrumento
(Debênture / Bond / NP / CRA / CCB / Bancário)</t>
        </is>
      </c>
      <c r="D3" s="46" t="inlineStr">
        <is>
          <t>Série /
Emissão</t>
        </is>
      </c>
      <c r="E3" s="46" t="inlineStr">
        <is>
          <t>Data de
Emissão</t>
        </is>
      </c>
      <c r="F3" s="46" t="inlineStr">
        <is>
          <t>Saldo Devedor
(R$ mm)</t>
        </is>
      </c>
      <c r="G3" s="46" t="inlineStr">
        <is>
          <t>Moeda</t>
        </is>
      </c>
      <c r="H3" s="46" t="inlineStr">
        <is>
          <t>Vencimento
Final</t>
        </is>
      </c>
      <c r="I3" s="46" t="inlineStr">
        <is>
          <t>Próx. Amortização
(data)</t>
        </is>
      </c>
      <c r="J3" s="46" t="inlineStr">
        <is>
          <t>Valor Próx.
Amort (R$ mm)</t>
        </is>
      </c>
      <c r="K3" s="46" t="inlineStr">
        <is>
          <t>Taxa
Contratada</t>
        </is>
      </c>
      <c r="L3" s="46" t="inlineStr">
        <is>
          <t>Indexador /
Benchmark</t>
        </is>
      </c>
      <c r="M3" s="46" t="inlineStr">
        <is>
          <t>Observações /
Warning</t>
        </is>
      </c>
    </row>
    <row r="4" ht="13.5" customHeight="1">
      <c r="A4" s="11" t="inlineStr">
        <is>
          <t>⚠  Preencher uma linha por instrumento relevante. Azul = Input manual. Fórmulas automáticas em cinza (dias para vencimento, flag de curto prazo).</t>
        </is>
      </c>
    </row>
    <row r="5" ht="15.75" customHeight="1">
      <c r="A5" s="15" t="inlineStr">
        <is>
          <t>Energisa</t>
        </is>
      </c>
      <c r="B5" s="17" t="inlineStr">
        <is>
          <t>Energia Elétrica</t>
        </is>
      </c>
      <c r="C5" s="17" t="n"/>
      <c r="D5" s="17" t="n"/>
      <c r="E5" s="47" t="n"/>
      <c r="F5" s="48" t="n"/>
      <c r="G5" s="17" t="n"/>
      <c r="H5" s="47" t="n"/>
      <c r="I5" s="47" t="n"/>
      <c r="J5" s="48" t="n"/>
      <c r="K5" s="17" t="n"/>
      <c r="L5" s="17" t="n"/>
      <c r="M5" s="25" t="n"/>
    </row>
    <row r="6" ht="15.75" customHeight="1">
      <c r="A6" s="17" t="n"/>
      <c r="B6" s="17" t="n"/>
      <c r="C6" s="17" t="n"/>
      <c r="D6" s="17" t="n"/>
      <c r="E6" s="47" t="n"/>
      <c r="F6" s="48" t="n"/>
      <c r="G6" s="17" t="n"/>
      <c r="H6" s="47" t="n"/>
      <c r="I6" s="47" t="n"/>
      <c r="J6" s="48" t="n"/>
      <c r="K6" s="17" t="n"/>
      <c r="L6" s="17" t="n"/>
      <c r="M6" s="25" t="n"/>
    </row>
    <row r="7" ht="15.75" customHeight="1">
      <c r="A7" s="17" t="n"/>
      <c r="B7" s="17" t="n"/>
      <c r="C7" s="17" t="n"/>
      <c r="D7" s="17" t="n"/>
      <c r="E7" s="47" t="n"/>
      <c r="F7" s="48" t="n"/>
      <c r="G7" s="17" t="n"/>
      <c r="H7" s="47" t="n"/>
      <c r="I7" s="47" t="n"/>
      <c r="J7" s="48" t="n"/>
      <c r="K7" s="17" t="n"/>
      <c r="L7" s="17" t="n"/>
      <c r="M7" s="25" t="n"/>
    </row>
    <row r="8" ht="15.75" customHeight="1">
      <c r="A8" s="26" t="inlineStr">
        <is>
          <t>Cemig</t>
        </is>
      </c>
      <c r="B8" s="28" t="inlineStr">
        <is>
          <t>Energia Elétrica</t>
        </is>
      </c>
      <c r="C8" s="28" t="n"/>
      <c r="D8" s="28" t="n"/>
      <c r="E8" s="49" t="n"/>
      <c r="F8" s="50" t="n"/>
      <c r="G8" s="28" t="n"/>
      <c r="H8" s="49" t="n"/>
      <c r="I8" s="49" t="n"/>
      <c r="J8" s="50" t="n"/>
      <c r="K8" s="28" t="n"/>
      <c r="L8" s="28" t="n"/>
      <c r="M8" s="36" t="n"/>
    </row>
    <row r="9" ht="15.75" customHeight="1">
      <c r="A9" s="28" t="n"/>
      <c r="B9" s="28" t="n"/>
      <c r="C9" s="28" t="n"/>
      <c r="D9" s="28" t="n"/>
      <c r="E9" s="49" t="n"/>
      <c r="F9" s="50" t="n"/>
      <c r="G9" s="28" t="n"/>
      <c r="H9" s="49" t="n"/>
      <c r="I9" s="49" t="n"/>
      <c r="J9" s="50" t="n"/>
      <c r="K9" s="28" t="n"/>
      <c r="L9" s="28" t="n"/>
      <c r="M9" s="36" t="n"/>
    </row>
    <row r="10" ht="15.75" customHeight="1">
      <c r="A10" s="28" t="n"/>
      <c r="B10" s="28" t="n"/>
      <c r="C10" s="28" t="n"/>
      <c r="D10" s="28" t="n"/>
      <c r="E10" s="49" t="n"/>
      <c r="F10" s="50" t="n"/>
      <c r="G10" s="28" t="n"/>
      <c r="H10" s="49" t="n"/>
      <c r="I10" s="49" t="n"/>
      <c r="J10" s="50" t="n"/>
      <c r="K10" s="28" t="n"/>
      <c r="L10" s="28" t="n"/>
      <c r="M10" s="36" t="n"/>
    </row>
    <row r="11" ht="15.75" customHeight="1">
      <c r="A11" s="15" t="inlineStr">
        <is>
          <t>CPFL</t>
        </is>
      </c>
      <c r="B11" s="17" t="inlineStr">
        <is>
          <t>Energia Elétrica</t>
        </is>
      </c>
      <c r="C11" s="17" t="n"/>
      <c r="D11" s="17" t="n"/>
      <c r="E11" s="47" t="n"/>
      <c r="F11" s="48" t="n"/>
      <c r="G11" s="17" t="n"/>
      <c r="H11" s="47" t="n"/>
      <c r="I11" s="47" t="n"/>
      <c r="J11" s="48" t="n"/>
      <c r="K11" s="17" t="n"/>
      <c r="L11" s="17" t="n"/>
      <c r="M11" s="25" t="n"/>
    </row>
    <row r="12" ht="15.75" customHeight="1">
      <c r="A12" s="17" t="n"/>
      <c r="B12" s="17" t="n"/>
      <c r="C12" s="17" t="n"/>
      <c r="D12" s="17" t="n"/>
      <c r="E12" s="47" t="n"/>
      <c r="F12" s="48" t="n"/>
      <c r="G12" s="17" t="n"/>
      <c r="H12" s="47" t="n"/>
      <c r="I12" s="47" t="n"/>
      <c r="J12" s="48" t="n"/>
      <c r="K12" s="17" t="n"/>
      <c r="L12" s="17" t="n"/>
      <c r="M12" s="25" t="n"/>
    </row>
    <row r="13" ht="15.75" customHeight="1">
      <c r="A13" s="17" t="n"/>
      <c r="B13" s="17" t="n"/>
      <c r="C13" s="17" t="n"/>
      <c r="D13" s="17" t="n"/>
      <c r="E13" s="47" t="n"/>
      <c r="F13" s="48" t="n"/>
      <c r="G13" s="17" t="n"/>
      <c r="H13" s="47" t="n"/>
      <c r="I13" s="47" t="n"/>
      <c r="J13" s="48" t="n"/>
      <c r="K13" s="17" t="n"/>
      <c r="L13" s="17" t="n"/>
      <c r="M13" s="25" t="n"/>
    </row>
    <row r="14" ht="15.75" customHeight="1">
      <c r="A14" s="26" t="inlineStr">
        <is>
          <t>Desktop</t>
        </is>
      </c>
      <c r="B14" s="28" t="inlineStr">
        <is>
          <t>Telecom / ISP</t>
        </is>
      </c>
      <c r="C14" s="28" t="n"/>
      <c r="D14" s="28" t="n"/>
      <c r="E14" s="49" t="n"/>
      <c r="F14" s="50" t="n"/>
      <c r="G14" s="28" t="n"/>
      <c r="H14" s="49" t="n"/>
      <c r="I14" s="49" t="n"/>
      <c r="J14" s="50" t="n"/>
      <c r="K14" s="28" t="n"/>
      <c r="L14" s="28" t="n"/>
      <c r="M14" s="36" t="n"/>
    </row>
    <row r="15" ht="15.75" customHeight="1">
      <c r="A15" s="28" t="n"/>
      <c r="B15" s="28" t="n"/>
      <c r="C15" s="28" t="n"/>
      <c r="D15" s="28" t="n"/>
      <c r="E15" s="49" t="n"/>
      <c r="F15" s="50" t="n"/>
      <c r="G15" s="28" t="n"/>
      <c r="H15" s="49" t="n"/>
      <c r="I15" s="49" t="n"/>
      <c r="J15" s="50" t="n"/>
      <c r="K15" s="28" t="n"/>
      <c r="L15" s="28" t="n"/>
      <c r="M15" s="36" t="n"/>
    </row>
    <row r="16" ht="15.75" customHeight="1">
      <c r="A16" s="28" t="n"/>
      <c r="B16" s="28" t="n"/>
      <c r="C16" s="28" t="n"/>
      <c r="D16" s="28" t="n"/>
      <c r="E16" s="49" t="n"/>
      <c r="F16" s="50" t="n"/>
      <c r="G16" s="28" t="n"/>
      <c r="H16" s="49" t="n"/>
      <c r="I16" s="49" t="n"/>
      <c r="J16" s="50" t="n"/>
      <c r="K16" s="28" t="n"/>
      <c r="L16" s="28" t="n"/>
      <c r="M16" s="36" t="n"/>
    </row>
    <row r="17" ht="15.75" customHeight="1">
      <c r="A17" s="15" t="inlineStr">
        <is>
          <t>Unifique</t>
        </is>
      </c>
      <c r="B17" s="17" t="inlineStr">
        <is>
          <t>Telecom / ISP</t>
        </is>
      </c>
      <c r="C17" s="17" t="n"/>
      <c r="D17" s="17" t="n"/>
      <c r="E17" s="47" t="n"/>
      <c r="F17" s="48" t="n"/>
      <c r="G17" s="17" t="n"/>
      <c r="H17" s="47" t="n"/>
      <c r="I17" s="47" t="n"/>
      <c r="J17" s="48" t="n"/>
      <c r="K17" s="17" t="n"/>
      <c r="L17" s="17" t="n"/>
      <c r="M17" s="25" t="n"/>
    </row>
    <row r="18" ht="15.75" customHeight="1">
      <c r="A18" s="17" t="n"/>
      <c r="B18" s="17" t="n"/>
      <c r="C18" s="17" t="n"/>
      <c r="D18" s="17" t="n"/>
      <c r="E18" s="47" t="n"/>
      <c r="F18" s="48" t="n"/>
      <c r="G18" s="17" t="n"/>
      <c r="H18" s="47" t="n"/>
      <c r="I18" s="47" t="n"/>
      <c r="J18" s="48" t="n"/>
      <c r="K18" s="17" t="n"/>
      <c r="L18" s="17" t="n"/>
      <c r="M18" s="25" t="n"/>
    </row>
    <row r="19" ht="15.75" customHeight="1">
      <c r="A19" s="17" t="n"/>
      <c r="B19" s="17" t="n"/>
      <c r="C19" s="17" t="n"/>
      <c r="D19" s="17" t="n"/>
      <c r="E19" s="47" t="n"/>
      <c r="F19" s="48" t="n"/>
      <c r="G19" s="17" t="n"/>
      <c r="H19" s="47" t="n"/>
      <c r="I19" s="47" t="n"/>
      <c r="J19" s="48" t="n"/>
      <c r="K19" s="17" t="n"/>
      <c r="L19" s="17" t="n"/>
      <c r="M19" s="25" t="n"/>
    </row>
    <row r="20" ht="15.75" customHeight="1">
      <c r="A20" s="26" t="inlineStr">
        <is>
          <t>Brisanet</t>
        </is>
      </c>
      <c r="B20" s="28" t="inlineStr">
        <is>
          <t>Telecom / ISP</t>
        </is>
      </c>
      <c r="C20" s="28" t="n"/>
      <c r="D20" s="28" t="n"/>
      <c r="E20" s="49" t="n"/>
      <c r="F20" s="50" t="n"/>
      <c r="G20" s="28" t="n"/>
      <c r="H20" s="49" t="n"/>
      <c r="I20" s="49" t="n"/>
      <c r="J20" s="50" t="n"/>
      <c r="K20" s="28" t="n"/>
      <c r="L20" s="28" t="n"/>
      <c r="M20" s="36" t="n"/>
    </row>
    <row r="21" ht="15.75" customHeight="1">
      <c r="A21" s="28" t="n"/>
      <c r="B21" s="28" t="n"/>
      <c r="C21" s="28" t="n"/>
      <c r="D21" s="28" t="n"/>
      <c r="E21" s="49" t="n"/>
      <c r="F21" s="50" t="n"/>
      <c r="G21" s="28" t="n"/>
      <c r="H21" s="49" t="n"/>
      <c r="I21" s="49" t="n"/>
      <c r="J21" s="50" t="n"/>
      <c r="K21" s="28" t="n"/>
      <c r="L21" s="28" t="n"/>
      <c r="M21" s="36" t="n"/>
    </row>
    <row r="22" ht="15.75" customHeight="1">
      <c r="A22" s="28" t="n"/>
      <c r="B22" s="28" t="n"/>
      <c r="C22" s="28" t="n"/>
      <c r="D22" s="28" t="n"/>
      <c r="E22" s="49" t="n"/>
      <c r="F22" s="50" t="n"/>
      <c r="G22" s="28" t="n"/>
      <c r="H22" s="49" t="n"/>
      <c r="I22" s="49" t="n"/>
      <c r="J22" s="50" t="n"/>
      <c r="K22" s="28" t="n"/>
      <c r="L22" s="28" t="n"/>
      <c r="M22" s="36" t="n"/>
    </row>
    <row r="23" ht="15.75" customHeight="1">
      <c r="A23" s="15" t="inlineStr">
        <is>
          <t>Vero</t>
        </is>
      </c>
      <c r="B23" s="17" t="inlineStr">
        <is>
          <t>Telecom / ISP</t>
        </is>
      </c>
      <c r="C23" s="17" t="n"/>
      <c r="D23" s="17" t="n"/>
      <c r="E23" s="47" t="n"/>
      <c r="F23" s="48" t="n"/>
      <c r="G23" s="17" t="n"/>
      <c r="H23" s="47" t="n"/>
      <c r="I23" s="47" t="n"/>
      <c r="J23" s="48" t="n"/>
      <c r="K23" s="17" t="n"/>
      <c r="L23" s="17" t="n"/>
      <c r="M23" s="25" t="n"/>
    </row>
    <row r="24" ht="15.75" customHeight="1">
      <c r="A24" s="17" t="n"/>
      <c r="B24" s="17" t="n"/>
      <c r="C24" s="17" t="n"/>
      <c r="D24" s="17" t="n"/>
      <c r="E24" s="47" t="n"/>
      <c r="F24" s="48" t="n"/>
      <c r="G24" s="17" t="n"/>
      <c r="H24" s="47" t="n"/>
      <c r="I24" s="47" t="n"/>
      <c r="J24" s="48" t="n"/>
      <c r="K24" s="17" t="n"/>
      <c r="L24" s="17" t="n"/>
      <c r="M24" s="25" t="n"/>
    </row>
    <row r="25" ht="15.75" customHeight="1">
      <c r="A25" s="17" t="n"/>
      <c r="B25" s="17" t="n"/>
      <c r="C25" s="17" t="n"/>
      <c r="D25" s="17" t="n"/>
      <c r="E25" s="47" t="n"/>
      <c r="F25" s="48" t="n"/>
      <c r="G25" s="17" t="n"/>
      <c r="H25" s="47" t="n"/>
      <c r="I25" s="47" t="n"/>
      <c r="J25" s="48" t="n"/>
      <c r="K25" s="17" t="n"/>
      <c r="L25" s="17" t="n"/>
      <c r="M25" s="25" t="n"/>
    </row>
    <row r="26" ht="15.75" customHeight="1">
      <c r="A26" s="26" t="inlineStr">
        <is>
          <t>Alloha</t>
        </is>
      </c>
      <c r="B26" s="28" t="inlineStr">
        <is>
          <t>Telecom / ISP</t>
        </is>
      </c>
      <c r="C26" s="28" t="n"/>
      <c r="D26" s="28" t="n"/>
      <c r="E26" s="49" t="n"/>
      <c r="F26" s="50" t="n"/>
      <c r="G26" s="28" t="n"/>
      <c r="H26" s="49" t="n"/>
      <c r="I26" s="49" t="n"/>
      <c r="J26" s="50" t="n"/>
      <c r="K26" s="28" t="n"/>
      <c r="L26" s="28" t="n"/>
      <c r="M26" s="36" t="n"/>
    </row>
    <row r="27" ht="15.75" customHeight="1">
      <c r="A27" s="28" t="n"/>
      <c r="B27" s="28" t="n"/>
      <c r="C27" s="28" t="n"/>
      <c r="D27" s="28" t="n"/>
      <c r="E27" s="49" t="n"/>
      <c r="F27" s="50" t="n"/>
      <c r="G27" s="28" t="n"/>
      <c r="H27" s="49" t="n"/>
      <c r="I27" s="49" t="n"/>
      <c r="J27" s="50" t="n"/>
      <c r="K27" s="28" t="n"/>
      <c r="L27" s="28" t="n"/>
      <c r="M27" s="36" t="n"/>
    </row>
    <row r="28" ht="15.75" customHeight="1">
      <c r="A28" s="28" t="n"/>
      <c r="B28" s="28" t="n"/>
      <c r="C28" s="28" t="n"/>
      <c r="D28" s="28" t="n"/>
      <c r="E28" s="49" t="n"/>
      <c r="F28" s="50" t="n"/>
      <c r="G28" s="28" t="n"/>
      <c r="H28" s="49" t="n"/>
      <c r="I28" s="49" t="n"/>
      <c r="J28" s="50" t="n"/>
      <c r="K28" s="28" t="n"/>
      <c r="L28" s="28" t="n"/>
      <c r="M28" s="36" t="n"/>
    </row>
    <row r="29" ht="15.75" customHeight="1">
      <c r="A29" s="15" t="inlineStr">
        <is>
          <t>Alares</t>
        </is>
      </c>
      <c r="B29" s="17" t="inlineStr">
        <is>
          <t>Telecom / ISP</t>
        </is>
      </c>
      <c r="C29" s="17" t="n"/>
      <c r="D29" s="17" t="n"/>
      <c r="E29" s="47" t="n"/>
      <c r="F29" s="48" t="n"/>
      <c r="G29" s="17" t="n"/>
      <c r="H29" s="47" t="n"/>
      <c r="I29" s="47" t="n"/>
      <c r="J29" s="48" t="n"/>
      <c r="K29" s="17" t="n"/>
      <c r="L29" s="17" t="n"/>
      <c r="M29" s="25" t="n"/>
    </row>
    <row r="30" ht="15.75" customHeight="1">
      <c r="A30" s="17" t="n"/>
      <c r="B30" s="17" t="n"/>
      <c r="C30" s="17" t="n"/>
      <c r="D30" s="17" t="n"/>
      <c r="E30" s="47" t="n"/>
      <c r="F30" s="48" t="n"/>
      <c r="G30" s="17" t="n"/>
      <c r="H30" s="47" t="n"/>
      <c r="I30" s="47" t="n"/>
      <c r="J30" s="48" t="n"/>
      <c r="K30" s="17" t="n"/>
      <c r="L30" s="17" t="n"/>
      <c r="M30" s="25" t="n"/>
    </row>
    <row r="31" ht="15.75" customHeight="1">
      <c r="A31" s="17" t="n"/>
      <c r="B31" s="17" t="n"/>
      <c r="C31" s="17" t="n"/>
      <c r="D31" s="17" t="n"/>
      <c r="E31" s="47" t="n"/>
      <c r="F31" s="48" t="n"/>
      <c r="G31" s="17" t="n"/>
      <c r="H31" s="47" t="n"/>
      <c r="I31" s="47" t="n"/>
      <c r="J31" s="48" t="n"/>
      <c r="K31" s="17" t="n"/>
      <c r="L31" s="17" t="n"/>
      <c r="M31" s="25" t="n"/>
    </row>
    <row r="32" ht="15.75" customHeight="1">
      <c r="A32" s="26" t="inlineStr">
        <is>
          <t>Tecpar / BrTecPar</t>
        </is>
      </c>
      <c r="B32" s="28" t="inlineStr">
        <is>
          <t>Telecom / ISP</t>
        </is>
      </c>
      <c r="C32" s="28" t="n"/>
      <c r="D32" s="28" t="n"/>
      <c r="E32" s="49" t="n"/>
      <c r="F32" s="50" t="n"/>
      <c r="G32" s="28" t="n"/>
      <c r="H32" s="49" t="n"/>
      <c r="I32" s="49" t="n"/>
      <c r="J32" s="50" t="n"/>
      <c r="K32" s="28" t="n"/>
      <c r="L32" s="28" t="n"/>
      <c r="M32" s="36" t="n"/>
    </row>
    <row r="33" ht="15.75" customHeight="1">
      <c r="A33" s="28" t="n"/>
      <c r="B33" s="28" t="n"/>
      <c r="C33" s="28" t="n"/>
      <c r="D33" s="28" t="n"/>
      <c r="E33" s="49" t="n"/>
      <c r="F33" s="50" t="n"/>
      <c r="G33" s="28" t="n"/>
      <c r="H33" s="49" t="n"/>
      <c r="I33" s="49" t="n"/>
      <c r="J33" s="50" t="n"/>
      <c r="K33" s="28" t="n"/>
      <c r="L33" s="28" t="n"/>
      <c r="M33" s="36" t="n"/>
    </row>
    <row r="34" ht="15.75" customHeight="1">
      <c r="A34" s="28" t="n"/>
      <c r="B34" s="28" t="n"/>
      <c r="C34" s="28" t="n"/>
      <c r="D34" s="28" t="n"/>
      <c r="E34" s="49" t="n"/>
      <c r="F34" s="50" t="n"/>
      <c r="G34" s="28" t="n"/>
      <c r="H34" s="49" t="n"/>
      <c r="I34" s="49" t="n"/>
      <c r="J34" s="50" t="n"/>
      <c r="K34" s="28" t="n"/>
      <c r="L34" s="28" t="n"/>
      <c r="M34" s="36" t="n"/>
    </row>
    <row r="35" ht="15.75" customHeight="1">
      <c r="A35" s="15" t="inlineStr">
        <is>
          <t>Algar</t>
        </is>
      </c>
      <c r="B35" s="17" t="inlineStr">
        <is>
          <t>Telecom / ISP</t>
        </is>
      </c>
      <c r="C35" s="17" t="n"/>
      <c r="D35" s="17" t="n"/>
      <c r="E35" s="47" t="n"/>
      <c r="F35" s="48" t="n"/>
      <c r="G35" s="17" t="n"/>
      <c r="H35" s="47" t="n"/>
      <c r="I35" s="47" t="n"/>
      <c r="J35" s="48" t="n"/>
      <c r="K35" s="17" t="n"/>
      <c r="L35" s="17" t="n"/>
      <c r="M35" s="25" t="n"/>
    </row>
    <row r="36" ht="15.75" customHeight="1">
      <c r="A36" s="17" t="n"/>
      <c r="B36" s="17" t="n"/>
      <c r="C36" s="17" t="n"/>
      <c r="D36" s="17" t="n"/>
      <c r="E36" s="47" t="n"/>
      <c r="F36" s="48" t="n"/>
      <c r="G36" s="17" t="n"/>
      <c r="H36" s="47" t="n"/>
      <c r="I36" s="47" t="n"/>
      <c r="J36" s="48" t="n"/>
      <c r="K36" s="17" t="n"/>
      <c r="L36" s="17" t="n"/>
      <c r="M36" s="25" t="n"/>
    </row>
    <row r="37" ht="15.75" customHeight="1">
      <c r="A37" s="17" t="n"/>
      <c r="B37" s="17" t="n"/>
      <c r="C37" s="17" t="n"/>
      <c r="D37" s="17" t="n"/>
      <c r="E37" s="47" t="n"/>
      <c r="F37" s="48" t="n"/>
      <c r="G37" s="17" t="n"/>
      <c r="H37" s="47" t="n"/>
      <c r="I37" s="47" t="n"/>
      <c r="J37" s="48" t="n"/>
      <c r="K37" s="17" t="n"/>
      <c r="L37" s="17" t="n"/>
      <c r="M37" s="25" t="n"/>
    </row>
    <row r="38" ht="15.75" customHeight="1">
      <c r="A38" s="26" t="inlineStr">
        <is>
          <t>TIM</t>
        </is>
      </c>
      <c r="B38" s="28" t="inlineStr">
        <is>
          <t>Telecom</t>
        </is>
      </c>
      <c r="C38" s="28" t="n"/>
      <c r="D38" s="28" t="n"/>
      <c r="E38" s="49" t="n"/>
      <c r="F38" s="50" t="n"/>
      <c r="G38" s="28" t="n"/>
      <c r="H38" s="49" t="n"/>
      <c r="I38" s="49" t="n"/>
      <c r="J38" s="50" t="n"/>
      <c r="K38" s="28" t="n"/>
      <c r="L38" s="28" t="n"/>
      <c r="M38" s="36" t="n"/>
    </row>
    <row r="39" ht="15.75" customHeight="1">
      <c r="A39" s="28" t="n"/>
      <c r="B39" s="28" t="n"/>
      <c r="C39" s="28" t="n"/>
      <c r="D39" s="28" t="n"/>
      <c r="E39" s="49" t="n"/>
      <c r="F39" s="50" t="n"/>
      <c r="G39" s="28" t="n"/>
      <c r="H39" s="49" t="n"/>
      <c r="I39" s="49" t="n"/>
      <c r="J39" s="50" t="n"/>
      <c r="K39" s="28" t="n"/>
      <c r="L39" s="28" t="n"/>
      <c r="M39" s="36" t="n"/>
    </row>
    <row r="40" ht="15.75" customHeight="1">
      <c r="A40" s="28" t="n"/>
      <c r="B40" s="28" t="n"/>
      <c r="C40" s="28" t="n"/>
      <c r="D40" s="28" t="n"/>
      <c r="E40" s="49" t="n"/>
      <c r="F40" s="50" t="n"/>
      <c r="G40" s="28" t="n"/>
      <c r="H40" s="49" t="n"/>
      <c r="I40" s="49" t="n"/>
      <c r="J40" s="50" t="n"/>
      <c r="K40" s="28" t="n"/>
      <c r="L40" s="28" t="n"/>
      <c r="M40" s="36" t="n"/>
    </row>
    <row r="41" ht="15.75" customHeight="1">
      <c r="A41" s="15" t="inlineStr">
        <is>
          <t>Vamos</t>
        </is>
      </c>
      <c r="B41" s="17" t="inlineStr">
        <is>
          <t>Locação / Transporte</t>
        </is>
      </c>
      <c r="C41" s="17" t="n"/>
      <c r="D41" s="17" t="n"/>
      <c r="E41" s="47" t="n"/>
      <c r="F41" s="48" t="n"/>
      <c r="G41" s="17" t="n"/>
      <c r="H41" s="47" t="n"/>
      <c r="I41" s="47" t="n"/>
      <c r="J41" s="48" t="n"/>
      <c r="K41" s="17" t="n"/>
      <c r="L41" s="17" t="n"/>
      <c r="M41" s="25" t="n"/>
    </row>
    <row r="42" ht="15.75" customHeight="1">
      <c r="A42" s="17" t="n"/>
      <c r="B42" s="17" t="n"/>
      <c r="C42" s="17" t="n"/>
      <c r="D42" s="17" t="n"/>
      <c r="E42" s="47" t="n"/>
      <c r="F42" s="48" t="n"/>
      <c r="G42" s="17" t="n"/>
      <c r="H42" s="47" t="n"/>
      <c r="I42" s="47" t="n"/>
      <c r="J42" s="48" t="n"/>
      <c r="K42" s="17" t="n"/>
      <c r="L42" s="17" t="n"/>
      <c r="M42" s="25" t="n"/>
    </row>
    <row r="43" ht="15.75" customHeight="1">
      <c r="A43" s="17" t="n"/>
      <c r="B43" s="17" t="n"/>
      <c r="C43" s="17" t="n"/>
      <c r="D43" s="17" t="n"/>
      <c r="E43" s="47" t="n"/>
      <c r="F43" s="48" t="n"/>
      <c r="G43" s="17" t="n"/>
      <c r="H43" s="47" t="n"/>
      <c r="I43" s="47" t="n"/>
      <c r="J43" s="48" t="n"/>
      <c r="K43" s="17" t="n"/>
      <c r="L43" s="17" t="n"/>
      <c r="M43" s="25" t="n"/>
    </row>
    <row r="44" ht="15.75" customHeight="1">
      <c r="A44" s="26" t="inlineStr">
        <is>
          <t>Movida</t>
        </is>
      </c>
      <c r="B44" s="28" t="inlineStr">
        <is>
          <t>Locação / Transporte</t>
        </is>
      </c>
      <c r="C44" s="28" t="n"/>
      <c r="D44" s="28" t="n"/>
      <c r="E44" s="49" t="n"/>
      <c r="F44" s="50" t="n"/>
      <c r="G44" s="28" t="n"/>
      <c r="H44" s="49" t="n"/>
      <c r="I44" s="49" t="n"/>
      <c r="J44" s="50" t="n"/>
      <c r="K44" s="28" t="n"/>
      <c r="L44" s="28" t="n"/>
      <c r="M44" s="36" t="n"/>
    </row>
    <row r="45" ht="15.75" customHeight="1">
      <c r="A45" s="28" t="n"/>
      <c r="B45" s="28" t="n"/>
      <c r="C45" s="28" t="n"/>
      <c r="D45" s="28" t="n"/>
      <c r="E45" s="49" t="n"/>
      <c r="F45" s="50" t="n"/>
      <c r="G45" s="28" t="n"/>
      <c r="H45" s="49" t="n"/>
      <c r="I45" s="49" t="n"/>
      <c r="J45" s="50" t="n"/>
      <c r="K45" s="28" t="n"/>
      <c r="L45" s="28" t="n"/>
      <c r="M45" s="36" t="n"/>
    </row>
    <row r="46" ht="15.75" customHeight="1">
      <c r="A46" s="28" t="n"/>
      <c r="B46" s="28" t="n"/>
      <c r="C46" s="28" t="n"/>
      <c r="D46" s="28" t="n"/>
      <c r="E46" s="49" t="n"/>
      <c r="F46" s="50" t="n"/>
      <c r="G46" s="28" t="n"/>
      <c r="H46" s="49" t="n"/>
      <c r="I46" s="49" t="n"/>
      <c r="J46" s="50" t="n"/>
      <c r="K46" s="28" t="n"/>
      <c r="L46" s="28" t="n"/>
      <c r="M46" s="36" t="n"/>
    </row>
    <row r="47" ht="15.75" customHeight="1">
      <c r="A47" s="15" t="inlineStr">
        <is>
          <t>JSL</t>
        </is>
      </c>
      <c r="B47" s="17" t="inlineStr">
        <is>
          <t>Logística</t>
        </is>
      </c>
      <c r="C47" s="17" t="n"/>
      <c r="D47" s="17" t="n"/>
      <c r="E47" s="47" t="n"/>
      <c r="F47" s="48" t="n"/>
      <c r="G47" s="17" t="n"/>
      <c r="H47" s="47" t="n"/>
      <c r="I47" s="47" t="n"/>
      <c r="J47" s="48" t="n"/>
      <c r="K47" s="17" t="n"/>
      <c r="L47" s="17" t="n"/>
      <c r="M47" s="25" t="n"/>
    </row>
    <row r="48" ht="15.75" customHeight="1">
      <c r="A48" s="17" t="n"/>
      <c r="B48" s="17" t="n"/>
      <c r="C48" s="17" t="n"/>
      <c r="D48" s="17" t="n"/>
      <c r="E48" s="47" t="n"/>
      <c r="F48" s="48" t="n"/>
      <c r="G48" s="17" t="n"/>
      <c r="H48" s="47" t="n"/>
      <c r="I48" s="47" t="n"/>
      <c r="J48" s="48" t="n"/>
      <c r="K48" s="17" t="n"/>
      <c r="L48" s="17" t="n"/>
      <c r="M48" s="25" t="n"/>
    </row>
    <row r="49" ht="15.75" customHeight="1">
      <c r="A49" s="17" t="n"/>
      <c r="B49" s="17" t="n"/>
      <c r="C49" s="17" t="n"/>
      <c r="D49" s="17" t="n"/>
      <c r="E49" s="47" t="n"/>
      <c r="F49" s="48" t="n"/>
      <c r="G49" s="17" t="n"/>
      <c r="H49" s="47" t="n"/>
      <c r="I49" s="47" t="n"/>
      <c r="J49" s="48" t="n"/>
      <c r="K49" s="17" t="n"/>
      <c r="L49" s="17" t="n"/>
      <c r="M49" s="25" t="n"/>
    </row>
    <row r="50" ht="15.75" customHeight="1">
      <c r="A50" s="26" t="inlineStr">
        <is>
          <t>Ecorodovias</t>
        </is>
      </c>
      <c r="B50" s="28" t="inlineStr">
        <is>
          <t>Infraestrutura / Rodov.</t>
        </is>
      </c>
      <c r="C50" s="28" t="n"/>
      <c r="D50" s="28" t="n"/>
      <c r="E50" s="49" t="n"/>
      <c r="F50" s="50" t="n"/>
      <c r="G50" s="28" t="n"/>
      <c r="H50" s="49" t="n"/>
      <c r="I50" s="49" t="n"/>
      <c r="J50" s="50" t="n"/>
      <c r="K50" s="28" t="n"/>
      <c r="L50" s="28" t="n"/>
      <c r="M50" s="36" t="n"/>
    </row>
    <row r="51" ht="15.75" customHeight="1">
      <c r="A51" s="28" t="n"/>
      <c r="B51" s="28" t="n"/>
      <c r="C51" s="28" t="n"/>
      <c r="D51" s="28" t="n"/>
      <c r="E51" s="49" t="n"/>
      <c r="F51" s="50" t="n"/>
      <c r="G51" s="28" t="n"/>
      <c r="H51" s="49" t="n"/>
      <c r="I51" s="49" t="n"/>
      <c r="J51" s="50" t="n"/>
      <c r="K51" s="28" t="n"/>
      <c r="L51" s="28" t="n"/>
      <c r="M51" s="36" t="n"/>
    </row>
    <row r="52" ht="15.75" customHeight="1">
      <c r="A52" s="28" t="n"/>
      <c r="B52" s="28" t="n"/>
      <c r="C52" s="28" t="n"/>
      <c r="D52" s="28" t="n"/>
      <c r="E52" s="49" t="n"/>
      <c r="F52" s="50" t="n"/>
      <c r="G52" s="28" t="n"/>
      <c r="H52" s="49" t="n"/>
      <c r="I52" s="49" t="n"/>
      <c r="J52" s="50" t="n"/>
      <c r="K52" s="28" t="n"/>
      <c r="L52" s="28" t="n"/>
      <c r="M52" s="36" t="n"/>
    </row>
    <row r="53" ht="15.75" customHeight="1">
      <c r="A53" s="15" t="inlineStr">
        <is>
          <t>Santos Brasil</t>
        </is>
      </c>
      <c r="B53" s="17" t="inlineStr">
        <is>
          <t>Porto / Logística</t>
        </is>
      </c>
      <c r="C53" s="17" t="n"/>
      <c r="D53" s="17" t="n"/>
      <c r="E53" s="47" t="n"/>
      <c r="F53" s="48" t="n"/>
      <c r="G53" s="17" t="n"/>
      <c r="H53" s="47" t="n"/>
      <c r="I53" s="47" t="n"/>
      <c r="J53" s="48" t="n"/>
      <c r="K53" s="17" t="n"/>
      <c r="L53" s="17" t="n"/>
      <c r="M53" s="25" t="n"/>
    </row>
    <row r="54" ht="15.75" customHeight="1">
      <c r="A54" s="17" t="n"/>
      <c r="B54" s="17" t="n"/>
      <c r="C54" s="17" t="n"/>
      <c r="D54" s="17" t="n"/>
      <c r="E54" s="47" t="n"/>
      <c r="F54" s="48" t="n"/>
      <c r="G54" s="17" t="n"/>
      <c r="H54" s="47" t="n"/>
      <c r="I54" s="47" t="n"/>
      <c r="J54" s="48" t="n"/>
      <c r="K54" s="17" t="n"/>
      <c r="L54" s="17" t="n"/>
      <c r="M54" s="25" t="n"/>
    </row>
    <row r="55" ht="15.75" customHeight="1">
      <c r="A55" s="17" t="n"/>
      <c r="B55" s="17" t="n"/>
      <c r="C55" s="17" t="n"/>
      <c r="D55" s="17" t="n"/>
      <c r="E55" s="47" t="n"/>
      <c r="F55" s="48" t="n"/>
      <c r="G55" s="17" t="n"/>
      <c r="H55" s="47" t="n"/>
      <c r="I55" s="47" t="n"/>
      <c r="J55" s="48" t="n"/>
      <c r="K55" s="17" t="n"/>
      <c r="L55" s="17" t="n"/>
      <c r="M55" s="25" t="n"/>
    </row>
    <row r="56" ht="15.75" customHeight="1">
      <c r="A56" s="26" t="inlineStr">
        <is>
          <t>Copasa</t>
        </is>
      </c>
      <c r="B56" s="28" t="inlineStr">
        <is>
          <t>Saneamento</t>
        </is>
      </c>
      <c r="C56" s="28" t="n"/>
      <c r="D56" s="28" t="n"/>
      <c r="E56" s="49" t="n"/>
      <c r="F56" s="50" t="n"/>
      <c r="G56" s="28" t="n"/>
      <c r="H56" s="49" t="n"/>
      <c r="I56" s="49" t="n"/>
      <c r="J56" s="50" t="n"/>
      <c r="K56" s="28" t="n"/>
      <c r="L56" s="28" t="n"/>
      <c r="M56" s="36" t="n"/>
    </row>
    <row r="57" ht="15.75" customHeight="1">
      <c r="A57" s="28" t="n"/>
      <c r="B57" s="28" t="n"/>
      <c r="C57" s="28" t="n"/>
      <c r="D57" s="28" t="n"/>
      <c r="E57" s="49" t="n"/>
      <c r="F57" s="50" t="n"/>
      <c r="G57" s="28" t="n"/>
      <c r="H57" s="49" t="n"/>
      <c r="I57" s="49" t="n"/>
      <c r="J57" s="50" t="n"/>
      <c r="K57" s="28" t="n"/>
      <c r="L57" s="28" t="n"/>
      <c r="M57" s="36" t="n"/>
    </row>
    <row r="58" ht="15.75" customHeight="1">
      <c r="A58" s="28" t="n"/>
      <c r="B58" s="28" t="n"/>
      <c r="C58" s="28" t="n"/>
      <c r="D58" s="28" t="n"/>
      <c r="E58" s="49" t="n"/>
      <c r="F58" s="50" t="n"/>
      <c r="G58" s="28" t="n"/>
      <c r="H58" s="49" t="n"/>
      <c r="I58" s="49" t="n"/>
      <c r="J58" s="50" t="n"/>
      <c r="K58" s="28" t="n"/>
      <c r="L58" s="28" t="n"/>
      <c r="M58" s="36" t="n"/>
    </row>
    <row r="59" ht="15.75" customHeight="1">
      <c r="A59" s="15" t="inlineStr">
        <is>
          <t>Sanepar</t>
        </is>
      </c>
      <c r="B59" s="17" t="inlineStr">
        <is>
          <t>Saneamento</t>
        </is>
      </c>
      <c r="C59" s="17" t="n"/>
      <c r="D59" s="17" t="n"/>
      <c r="E59" s="47" t="n"/>
      <c r="F59" s="48" t="n"/>
      <c r="G59" s="17" t="n"/>
      <c r="H59" s="47" t="n"/>
      <c r="I59" s="47" t="n"/>
      <c r="J59" s="48" t="n"/>
      <c r="K59" s="17" t="n"/>
      <c r="L59" s="17" t="n"/>
      <c r="M59" s="25" t="n"/>
    </row>
    <row r="60" ht="15.75" customHeight="1">
      <c r="A60" s="17" t="n"/>
      <c r="B60" s="17" t="n"/>
      <c r="C60" s="17" t="n"/>
      <c r="D60" s="17" t="n"/>
      <c r="E60" s="47" t="n"/>
      <c r="F60" s="48" t="n"/>
      <c r="G60" s="17" t="n"/>
      <c r="H60" s="47" t="n"/>
      <c r="I60" s="47" t="n"/>
      <c r="J60" s="48" t="n"/>
      <c r="K60" s="17" t="n"/>
      <c r="L60" s="17" t="n"/>
      <c r="M60" s="25" t="n"/>
    </row>
    <row r="61" ht="15.75" customHeight="1">
      <c r="A61" s="17" t="n"/>
      <c r="B61" s="17" t="n"/>
      <c r="C61" s="17" t="n"/>
      <c r="D61" s="17" t="n"/>
      <c r="E61" s="47" t="n"/>
      <c r="F61" s="48" t="n"/>
      <c r="G61" s="17" t="n"/>
      <c r="H61" s="47" t="n"/>
      <c r="I61" s="47" t="n"/>
      <c r="J61" s="48" t="n"/>
      <c r="K61" s="17" t="n"/>
      <c r="L61" s="17" t="n"/>
      <c r="M61" s="25" t="n"/>
    </row>
    <row r="62" ht="15.75" customHeight="1">
      <c r="A62" s="26" t="inlineStr">
        <is>
          <t>Saneago</t>
        </is>
      </c>
      <c r="B62" s="28" t="inlineStr">
        <is>
          <t>Saneamento</t>
        </is>
      </c>
      <c r="C62" s="28" t="n"/>
      <c r="D62" s="28" t="n"/>
      <c r="E62" s="49" t="n"/>
      <c r="F62" s="50" t="n"/>
      <c r="G62" s="28" t="n"/>
      <c r="H62" s="49" t="n"/>
      <c r="I62" s="49" t="n"/>
      <c r="J62" s="50" t="n"/>
      <c r="K62" s="28" t="n"/>
      <c r="L62" s="28" t="n"/>
      <c r="M62" s="36" t="n"/>
    </row>
    <row r="63" ht="15.75" customHeight="1">
      <c r="A63" s="28" t="n"/>
      <c r="B63" s="28" t="n"/>
      <c r="C63" s="28" t="n"/>
      <c r="D63" s="28" t="n"/>
      <c r="E63" s="49" t="n"/>
      <c r="F63" s="50" t="n"/>
      <c r="G63" s="28" t="n"/>
      <c r="H63" s="49" t="n"/>
      <c r="I63" s="49" t="n"/>
      <c r="J63" s="50" t="n"/>
      <c r="K63" s="28" t="n"/>
      <c r="L63" s="28" t="n"/>
      <c r="M63" s="36" t="n"/>
    </row>
    <row r="64" ht="15.75" customHeight="1">
      <c r="A64" s="28" t="n"/>
      <c r="B64" s="28" t="n"/>
      <c r="C64" s="28" t="n"/>
      <c r="D64" s="28" t="n"/>
      <c r="E64" s="49" t="n"/>
      <c r="F64" s="50" t="n"/>
      <c r="G64" s="28" t="n"/>
      <c r="H64" s="49" t="n"/>
      <c r="I64" s="49" t="n"/>
      <c r="J64" s="50" t="n"/>
      <c r="K64" s="28" t="n"/>
      <c r="L64" s="28" t="n"/>
      <c r="M64" s="36" t="n"/>
    </row>
    <row r="65" ht="15.75" customHeight="1">
      <c r="A65" s="15" t="inlineStr">
        <is>
          <t>Vix</t>
        </is>
      </c>
      <c r="B65" s="17" t="inlineStr">
        <is>
          <t>Logística / Transporte</t>
        </is>
      </c>
      <c r="C65" s="17" t="n"/>
      <c r="D65" s="17" t="n"/>
      <c r="E65" s="47" t="n"/>
      <c r="F65" s="48" t="n"/>
      <c r="G65" s="17" t="n"/>
      <c r="H65" s="47" t="n"/>
      <c r="I65" s="47" t="n"/>
      <c r="J65" s="48" t="n"/>
      <c r="K65" s="17" t="n"/>
      <c r="L65" s="17" t="n"/>
      <c r="M65" s="25" t="n"/>
    </row>
    <row r="66" ht="15.75" customHeight="1">
      <c r="A66" s="17" t="n"/>
      <c r="B66" s="17" t="n"/>
      <c r="C66" s="17" t="n"/>
      <c r="D66" s="17" t="n"/>
      <c r="E66" s="47" t="n"/>
      <c r="F66" s="48" t="n"/>
      <c r="G66" s="17" t="n"/>
      <c r="H66" s="47" t="n"/>
      <c r="I66" s="47" t="n"/>
      <c r="J66" s="48" t="n"/>
      <c r="K66" s="17" t="n"/>
      <c r="L66" s="17" t="n"/>
      <c r="M66" s="25" t="n"/>
    </row>
    <row r="67" ht="15.75" customHeight="1">
      <c r="A67" s="17" t="n"/>
      <c r="B67" s="17" t="n"/>
      <c r="C67" s="17" t="n"/>
      <c r="D67" s="17" t="n"/>
      <c r="E67" s="47" t="n"/>
      <c r="F67" s="48" t="n"/>
      <c r="G67" s="17" t="n"/>
      <c r="H67" s="47" t="n"/>
      <c r="I67" s="47" t="n"/>
      <c r="J67" s="48" t="n"/>
      <c r="K67" s="17" t="n"/>
      <c r="L67" s="17" t="n"/>
      <c r="M67" s="25" t="n"/>
    </row>
    <row r="68" ht="15.75" customHeight="1">
      <c r="A68" s="26" t="inlineStr">
        <is>
          <t>Armac</t>
        </is>
      </c>
      <c r="B68" s="28" t="inlineStr">
        <is>
          <t>Locação</t>
        </is>
      </c>
      <c r="C68" s="28" t="n"/>
      <c r="D68" s="28" t="n"/>
      <c r="E68" s="49" t="n"/>
      <c r="F68" s="50" t="n"/>
      <c r="G68" s="28" t="n"/>
      <c r="H68" s="49" t="n"/>
      <c r="I68" s="49" t="n"/>
      <c r="J68" s="50" t="n"/>
      <c r="K68" s="28" t="n"/>
      <c r="L68" s="28" t="n"/>
      <c r="M68" s="36" t="n"/>
    </row>
    <row r="69" ht="15.75" customHeight="1">
      <c r="A69" s="28" t="n"/>
      <c r="B69" s="28" t="n"/>
      <c r="C69" s="28" t="n"/>
      <c r="D69" s="28" t="n"/>
      <c r="E69" s="49" t="n"/>
      <c r="F69" s="50" t="n"/>
      <c r="G69" s="28" t="n"/>
      <c r="H69" s="49" t="n"/>
      <c r="I69" s="49" t="n"/>
      <c r="J69" s="50" t="n"/>
      <c r="K69" s="28" t="n"/>
      <c r="L69" s="28" t="n"/>
      <c r="M69" s="36" t="n"/>
    </row>
    <row r="70" ht="15.75" customHeight="1">
      <c r="A70" s="28" t="n"/>
      <c r="B70" s="28" t="n"/>
      <c r="C70" s="28" t="n"/>
      <c r="D70" s="28" t="n"/>
      <c r="E70" s="49" t="n"/>
      <c r="F70" s="50" t="n"/>
      <c r="G70" s="28" t="n"/>
      <c r="H70" s="49" t="n"/>
      <c r="I70" s="49" t="n"/>
      <c r="J70" s="50" t="n"/>
      <c r="K70" s="28" t="n"/>
      <c r="L70" s="28" t="n"/>
      <c r="M70" s="36" t="n"/>
    </row>
    <row r="71" ht="15.75" customHeight="1">
      <c r="A71" s="15" t="inlineStr">
        <is>
          <t>Unidas</t>
        </is>
      </c>
      <c r="B71" s="17" t="inlineStr">
        <is>
          <t>Locação</t>
        </is>
      </c>
      <c r="C71" s="17" t="n"/>
      <c r="D71" s="17" t="n"/>
      <c r="E71" s="47" t="n"/>
      <c r="F71" s="48" t="n"/>
      <c r="G71" s="17" t="n"/>
      <c r="H71" s="47" t="n"/>
      <c r="I71" s="47" t="n"/>
      <c r="J71" s="48" t="n"/>
      <c r="K71" s="17" t="n"/>
      <c r="L71" s="17" t="n"/>
      <c r="M71" s="25" t="n"/>
    </row>
    <row r="72" ht="15.75" customHeight="1">
      <c r="A72" s="17" t="n"/>
      <c r="B72" s="17" t="n"/>
      <c r="C72" s="17" t="n"/>
      <c r="D72" s="17" t="n"/>
      <c r="E72" s="47" t="n"/>
      <c r="F72" s="48" t="n"/>
      <c r="G72" s="17" t="n"/>
      <c r="H72" s="47" t="n"/>
      <c r="I72" s="47" t="n"/>
      <c r="J72" s="48" t="n"/>
      <c r="K72" s="17" t="n"/>
      <c r="L72" s="17" t="n"/>
      <c r="M72" s="25" t="n"/>
    </row>
    <row r="73" ht="15.75" customHeight="1">
      <c r="A73" s="17" t="n"/>
      <c r="B73" s="17" t="n"/>
      <c r="C73" s="17" t="n"/>
      <c r="D73" s="17" t="n"/>
      <c r="E73" s="47" t="n"/>
      <c r="F73" s="48" t="n"/>
      <c r="G73" s="17" t="n"/>
      <c r="H73" s="47" t="n"/>
      <c r="I73" s="47" t="n"/>
      <c r="J73" s="48" t="n"/>
      <c r="K73" s="17" t="n"/>
      <c r="L73" s="17" t="n"/>
      <c r="M73" s="25" t="n"/>
    </row>
    <row r="74" ht="15.75" customHeight="1">
      <c r="A74" s="26" t="inlineStr">
        <is>
          <t>Mills</t>
        </is>
      </c>
      <c r="B74" s="28" t="inlineStr">
        <is>
          <t>Locação / Indústria</t>
        </is>
      </c>
      <c r="C74" s="28" t="n"/>
      <c r="D74" s="28" t="n"/>
      <c r="E74" s="49" t="n"/>
      <c r="F74" s="50" t="n"/>
      <c r="G74" s="28" t="n"/>
      <c r="H74" s="49" t="n"/>
      <c r="I74" s="49" t="n"/>
      <c r="J74" s="50" t="n"/>
      <c r="K74" s="28" t="n"/>
      <c r="L74" s="28" t="n"/>
      <c r="M74" s="36" t="n"/>
    </row>
    <row r="75" ht="15.75" customHeight="1">
      <c r="A75" s="28" t="n"/>
      <c r="B75" s="28" t="n"/>
      <c r="C75" s="28" t="n"/>
      <c r="D75" s="28" t="n"/>
      <c r="E75" s="49" t="n"/>
      <c r="F75" s="50" t="n"/>
      <c r="G75" s="28" t="n"/>
      <c r="H75" s="49" t="n"/>
      <c r="I75" s="49" t="n"/>
      <c r="J75" s="50" t="n"/>
      <c r="K75" s="28" t="n"/>
      <c r="L75" s="28" t="n"/>
      <c r="M75" s="36" t="n"/>
    </row>
    <row r="76" ht="15.75" customHeight="1">
      <c r="A76" s="28" t="n"/>
      <c r="B76" s="28" t="n"/>
      <c r="C76" s="28" t="n"/>
      <c r="D76" s="28" t="n"/>
      <c r="E76" s="49" t="n"/>
      <c r="F76" s="50" t="n"/>
      <c r="G76" s="28" t="n"/>
      <c r="H76" s="49" t="n"/>
      <c r="I76" s="49" t="n"/>
      <c r="J76" s="50" t="n"/>
      <c r="K76" s="28" t="n"/>
      <c r="L76" s="28" t="n"/>
      <c r="M76" s="36" t="n"/>
    </row>
    <row r="77" ht="15.75" customHeight="1">
      <c r="A77" s="15" t="inlineStr">
        <is>
          <t>Priner</t>
        </is>
      </c>
      <c r="B77" s="17" t="inlineStr">
        <is>
          <t>Serviços Industriais</t>
        </is>
      </c>
      <c r="C77" s="17" t="n"/>
      <c r="D77" s="17" t="n"/>
      <c r="E77" s="47" t="n"/>
      <c r="F77" s="48" t="n"/>
      <c r="G77" s="17" t="n"/>
      <c r="H77" s="47" t="n"/>
      <c r="I77" s="47" t="n"/>
      <c r="J77" s="48" t="n"/>
      <c r="K77" s="17" t="n"/>
      <c r="L77" s="17" t="n"/>
      <c r="M77" s="25" t="n"/>
    </row>
    <row r="78" ht="15.75" customHeight="1">
      <c r="A78" s="17" t="n"/>
      <c r="B78" s="17" t="n"/>
      <c r="C78" s="17" t="n"/>
      <c r="D78" s="17" t="n"/>
      <c r="E78" s="47" t="n"/>
      <c r="F78" s="48" t="n"/>
      <c r="G78" s="17" t="n"/>
      <c r="H78" s="47" t="n"/>
      <c r="I78" s="47" t="n"/>
      <c r="J78" s="48" t="n"/>
      <c r="K78" s="17" t="n"/>
      <c r="L78" s="17" t="n"/>
      <c r="M78" s="25" t="n"/>
    </row>
    <row r="79" ht="15.75" customHeight="1">
      <c r="A79" s="17" t="n"/>
      <c r="B79" s="17" t="n"/>
      <c r="C79" s="17" t="n"/>
      <c r="D79" s="17" t="n"/>
      <c r="E79" s="47" t="n"/>
      <c r="F79" s="48" t="n"/>
      <c r="G79" s="17" t="n"/>
      <c r="H79" s="47" t="n"/>
      <c r="I79" s="47" t="n"/>
      <c r="J79" s="48" t="n"/>
      <c r="K79" s="17" t="n"/>
      <c r="L79" s="17" t="n"/>
      <c r="M79" s="25" t="n"/>
    </row>
    <row r="80" ht="15.75" customHeight="1">
      <c r="A80" s="26" t="inlineStr">
        <is>
          <t>Aura Minerals</t>
        </is>
      </c>
      <c r="B80" s="28" t="inlineStr">
        <is>
          <t>Mineração</t>
        </is>
      </c>
      <c r="C80" s="28" t="n"/>
      <c r="D80" s="28" t="n"/>
      <c r="E80" s="49" t="n"/>
      <c r="F80" s="50" t="n"/>
      <c r="G80" s="28" t="n"/>
      <c r="H80" s="49" t="n"/>
      <c r="I80" s="49" t="n"/>
      <c r="J80" s="50" t="n"/>
      <c r="K80" s="28" t="n"/>
      <c r="L80" s="28" t="n"/>
      <c r="M80" s="36" t="n"/>
    </row>
    <row r="81" ht="15.75" customHeight="1">
      <c r="A81" s="28" t="n"/>
      <c r="B81" s="28" t="n"/>
      <c r="C81" s="28" t="n"/>
      <c r="D81" s="28" t="n"/>
      <c r="E81" s="49" t="n"/>
      <c r="F81" s="50" t="n"/>
      <c r="G81" s="28" t="n"/>
      <c r="H81" s="49" t="n"/>
      <c r="I81" s="49" t="n"/>
      <c r="J81" s="50" t="n"/>
      <c r="K81" s="28" t="n"/>
      <c r="L81" s="28" t="n"/>
      <c r="M81" s="36" t="n"/>
    </row>
    <row r="82" ht="15.75" customHeight="1">
      <c r="A82" s="28" t="n"/>
      <c r="B82" s="28" t="n"/>
      <c r="C82" s="28" t="n"/>
      <c r="D82" s="28" t="n"/>
      <c r="E82" s="49" t="n"/>
      <c r="F82" s="50" t="n"/>
      <c r="G82" s="28" t="n"/>
      <c r="H82" s="49" t="n"/>
      <c r="I82" s="49" t="n"/>
      <c r="J82" s="50" t="n"/>
      <c r="K82" s="28" t="n"/>
      <c r="L82" s="28" t="n"/>
      <c r="M82" s="36" t="n"/>
    </row>
    <row r="83" ht="15.75" customHeight="1">
      <c r="A83" s="15" t="inlineStr">
        <is>
          <t>Vale</t>
        </is>
      </c>
      <c r="B83" s="17" t="inlineStr">
        <is>
          <t>Mineração</t>
        </is>
      </c>
      <c r="C83" s="17" t="n"/>
      <c r="D83" s="17" t="n"/>
      <c r="E83" s="47" t="n"/>
      <c r="F83" s="48" t="n"/>
      <c r="G83" s="17" t="n"/>
      <c r="H83" s="47" t="n"/>
      <c r="I83" s="47" t="n"/>
      <c r="J83" s="48" t="n"/>
      <c r="K83" s="17" t="n"/>
      <c r="L83" s="17" t="n"/>
      <c r="M83" s="25" t="n"/>
    </row>
    <row r="84" ht="15.75" customHeight="1">
      <c r="A84" s="17" t="n"/>
      <c r="B84" s="17" t="n"/>
      <c r="C84" s="17" t="n"/>
      <c r="D84" s="17" t="n"/>
      <c r="E84" s="47" t="n"/>
      <c r="F84" s="48" t="n"/>
      <c r="G84" s="17" t="n"/>
      <c r="H84" s="47" t="n"/>
      <c r="I84" s="47" t="n"/>
      <c r="J84" s="48" t="n"/>
      <c r="K84" s="17" t="n"/>
      <c r="L84" s="17" t="n"/>
      <c r="M84" s="25" t="n"/>
    </row>
    <row r="85" ht="15.75" customHeight="1">
      <c r="A85" s="17" t="n"/>
      <c r="B85" s="17" t="n"/>
      <c r="C85" s="17" t="n"/>
      <c r="D85" s="17" t="n"/>
      <c r="E85" s="47" t="n"/>
      <c r="F85" s="48" t="n"/>
      <c r="G85" s="17" t="n"/>
      <c r="H85" s="47" t="n"/>
      <c r="I85" s="47" t="n"/>
      <c r="J85" s="48" t="n"/>
      <c r="K85" s="17" t="n"/>
      <c r="L85" s="17" t="n"/>
      <c r="M85" s="25" t="n"/>
    </row>
    <row r="86" ht="15.75" customHeight="1">
      <c r="A86" s="26" t="inlineStr">
        <is>
          <t>Rede D'Or</t>
        </is>
      </c>
      <c r="B86" s="28" t="inlineStr">
        <is>
          <t>Saúde</t>
        </is>
      </c>
      <c r="C86" s="28" t="n"/>
      <c r="D86" s="28" t="n"/>
      <c r="E86" s="49" t="n"/>
      <c r="F86" s="50" t="n"/>
      <c r="G86" s="28" t="n"/>
      <c r="H86" s="49" t="n"/>
      <c r="I86" s="49" t="n"/>
      <c r="J86" s="50" t="n"/>
      <c r="K86" s="28" t="n"/>
      <c r="L86" s="28" t="n"/>
      <c r="M86" s="36" t="n"/>
    </row>
    <row r="87" ht="15.75" customHeight="1">
      <c r="A87" s="28" t="n"/>
      <c r="B87" s="28" t="n"/>
      <c r="C87" s="28" t="n"/>
      <c r="D87" s="28" t="n"/>
      <c r="E87" s="49" t="n"/>
      <c r="F87" s="50" t="n"/>
      <c r="G87" s="28" t="n"/>
      <c r="H87" s="49" t="n"/>
      <c r="I87" s="49" t="n"/>
      <c r="J87" s="50" t="n"/>
      <c r="K87" s="28" t="n"/>
      <c r="L87" s="28" t="n"/>
      <c r="M87" s="36" t="n"/>
    </row>
    <row r="88" ht="15.75" customHeight="1">
      <c r="A88" s="28" t="n"/>
      <c r="B88" s="28" t="n"/>
      <c r="C88" s="28" t="n"/>
      <c r="D88" s="28" t="n"/>
      <c r="E88" s="49" t="n"/>
      <c r="F88" s="50" t="n"/>
      <c r="G88" s="28" t="n"/>
      <c r="H88" s="49" t="n"/>
      <c r="I88" s="49" t="n"/>
      <c r="J88" s="50" t="n"/>
      <c r="K88" s="28" t="n"/>
      <c r="L88" s="28" t="n"/>
      <c r="M88" s="36" t="n"/>
    </row>
    <row r="89" ht="15.75" customHeight="1">
      <c r="A89" s="15" t="inlineStr">
        <is>
          <t>GSH</t>
        </is>
      </c>
      <c r="B89" s="17" t="inlineStr">
        <is>
          <t>Saúde</t>
        </is>
      </c>
      <c r="C89" s="17" t="n"/>
      <c r="D89" s="17" t="n"/>
      <c r="E89" s="47" t="n"/>
      <c r="F89" s="48" t="n"/>
      <c r="G89" s="17" t="n"/>
      <c r="H89" s="47" t="n"/>
      <c r="I89" s="47" t="n"/>
      <c r="J89" s="48" t="n"/>
      <c r="K89" s="17" t="n"/>
      <c r="L89" s="17" t="n"/>
      <c r="M89" s="25" t="n"/>
    </row>
    <row r="90" ht="15.75" customHeight="1">
      <c r="A90" s="17" t="n"/>
      <c r="B90" s="17" t="n"/>
      <c r="C90" s="17" t="n"/>
      <c r="D90" s="17" t="n"/>
      <c r="E90" s="47" t="n"/>
      <c r="F90" s="48" t="n"/>
      <c r="G90" s="17" t="n"/>
      <c r="H90" s="47" t="n"/>
      <c r="I90" s="47" t="n"/>
      <c r="J90" s="48" t="n"/>
      <c r="K90" s="17" t="n"/>
      <c r="L90" s="17" t="n"/>
      <c r="M90" s="25" t="n"/>
    </row>
    <row r="91" ht="15.75" customHeight="1">
      <c r="A91" s="17" t="n"/>
      <c r="B91" s="17" t="n"/>
      <c r="C91" s="17" t="n"/>
      <c r="D91" s="17" t="n"/>
      <c r="E91" s="47" t="n"/>
      <c r="F91" s="48" t="n"/>
      <c r="G91" s="17" t="n"/>
      <c r="H91" s="47" t="n"/>
      <c r="I91" s="47" t="n"/>
      <c r="J91" s="48" t="n"/>
      <c r="K91" s="17" t="n"/>
      <c r="L91" s="17" t="n"/>
      <c r="M91" s="25" t="n"/>
    </row>
    <row r="92" ht="15.75" customHeight="1">
      <c r="A92" s="26" t="inlineStr">
        <is>
          <t>Hapvida</t>
        </is>
      </c>
      <c r="B92" s="28" t="inlineStr">
        <is>
          <t>Saúde</t>
        </is>
      </c>
      <c r="C92" s="28" t="n"/>
      <c r="D92" s="28" t="n"/>
      <c r="E92" s="49" t="n"/>
      <c r="F92" s="50" t="n"/>
      <c r="G92" s="28" t="n"/>
      <c r="H92" s="49" t="n"/>
      <c r="I92" s="49" t="n"/>
      <c r="J92" s="50" t="n"/>
      <c r="K92" s="28" t="n"/>
      <c r="L92" s="28" t="n"/>
      <c r="M92" s="36" t="n"/>
    </row>
    <row r="93" ht="15.75" customHeight="1">
      <c r="A93" s="28" t="n"/>
      <c r="B93" s="28" t="n"/>
      <c r="C93" s="28" t="n"/>
      <c r="D93" s="28" t="n"/>
      <c r="E93" s="49" t="n"/>
      <c r="F93" s="50" t="n"/>
      <c r="G93" s="28" t="n"/>
      <c r="H93" s="49" t="n"/>
      <c r="I93" s="49" t="n"/>
      <c r="J93" s="50" t="n"/>
      <c r="K93" s="28" t="n"/>
      <c r="L93" s="28" t="n"/>
      <c r="M93" s="36" t="n"/>
    </row>
    <row r="94" ht="15.75" customHeight="1">
      <c r="A94" s="28" t="n"/>
      <c r="B94" s="28" t="n"/>
      <c r="C94" s="28" t="n"/>
      <c r="D94" s="28" t="n"/>
      <c r="E94" s="49" t="n"/>
      <c r="F94" s="50" t="n"/>
      <c r="G94" s="28" t="n"/>
      <c r="H94" s="49" t="n"/>
      <c r="I94" s="49" t="n"/>
      <c r="J94" s="50" t="n"/>
      <c r="K94" s="28" t="n"/>
      <c r="L94" s="28" t="n"/>
      <c r="M94" s="36" t="n"/>
    </row>
    <row r="95" ht="15.75" customHeight="1">
      <c r="A95" s="15" t="inlineStr">
        <is>
          <t>Klabin</t>
        </is>
      </c>
      <c r="B95" s="17" t="inlineStr">
        <is>
          <t>Papel e Celulose</t>
        </is>
      </c>
      <c r="C95" s="17" t="n"/>
      <c r="D95" s="17" t="n"/>
      <c r="E95" s="47" t="n"/>
      <c r="F95" s="48" t="n"/>
      <c r="G95" s="17" t="n"/>
      <c r="H95" s="47" t="n"/>
      <c r="I95" s="47" t="n"/>
      <c r="J95" s="48" t="n"/>
      <c r="K95" s="17" t="n"/>
      <c r="L95" s="17" t="n"/>
      <c r="M95" s="25" t="n"/>
    </row>
    <row r="96" ht="15.75" customHeight="1">
      <c r="A96" s="17" t="n"/>
      <c r="B96" s="17" t="n"/>
      <c r="C96" s="17" t="n"/>
      <c r="D96" s="17" t="n"/>
      <c r="E96" s="47" t="n"/>
      <c r="F96" s="48" t="n"/>
      <c r="G96" s="17" t="n"/>
      <c r="H96" s="47" t="n"/>
      <c r="I96" s="47" t="n"/>
      <c r="J96" s="48" t="n"/>
      <c r="K96" s="17" t="n"/>
      <c r="L96" s="17" t="n"/>
      <c r="M96" s="25" t="n"/>
    </row>
    <row r="97" ht="15.75" customHeight="1">
      <c r="A97" s="17" t="n"/>
      <c r="B97" s="17" t="n"/>
      <c r="C97" s="17" t="n"/>
      <c r="D97" s="17" t="n"/>
      <c r="E97" s="47" t="n"/>
      <c r="F97" s="48" t="n"/>
      <c r="G97" s="17" t="n"/>
      <c r="H97" s="47" t="n"/>
      <c r="I97" s="47" t="n"/>
      <c r="J97" s="48" t="n"/>
      <c r="K97" s="17" t="n"/>
      <c r="L97" s="17" t="n"/>
      <c r="M97" s="25" t="n"/>
    </row>
    <row r="98" ht="15.75" customHeight="1">
      <c r="A98" s="26" t="inlineStr">
        <is>
          <t>Unipar</t>
        </is>
      </c>
      <c r="B98" s="28" t="inlineStr">
        <is>
          <t>Química / Petroquímica</t>
        </is>
      </c>
      <c r="C98" s="28" t="n"/>
      <c r="D98" s="28" t="n"/>
      <c r="E98" s="49" t="n"/>
      <c r="F98" s="50" t="n"/>
      <c r="G98" s="28" t="n"/>
      <c r="H98" s="49" t="n"/>
      <c r="I98" s="49" t="n"/>
      <c r="J98" s="50" t="n"/>
      <c r="K98" s="28" t="n"/>
      <c r="L98" s="28" t="n"/>
      <c r="M98" s="36" t="n"/>
    </row>
    <row r="99" ht="15.75" customHeight="1">
      <c r="A99" s="28" t="n"/>
      <c r="B99" s="28" t="n"/>
      <c r="C99" s="28" t="n"/>
      <c r="D99" s="28" t="n"/>
      <c r="E99" s="49" t="n"/>
      <c r="F99" s="50" t="n"/>
      <c r="G99" s="28" t="n"/>
      <c r="H99" s="49" t="n"/>
      <c r="I99" s="49" t="n"/>
      <c r="J99" s="50" t="n"/>
      <c r="K99" s="28" t="n"/>
      <c r="L99" s="28" t="n"/>
      <c r="M99" s="36" t="n"/>
    </row>
    <row r="100" ht="15.75" customHeight="1">
      <c r="A100" s="28" t="n"/>
      <c r="B100" s="28" t="n"/>
      <c r="C100" s="28" t="n"/>
      <c r="D100" s="28" t="n"/>
      <c r="E100" s="49" t="n"/>
      <c r="F100" s="50" t="n"/>
      <c r="G100" s="28" t="n"/>
      <c r="H100" s="49" t="n"/>
      <c r="I100" s="49" t="n"/>
      <c r="J100" s="50" t="n"/>
      <c r="K100" s="28" t="n"/>
      <c r="L100" s="28" t="n"/>
      <c r="M100" s="36" t="n"/>
    </row>
    <row r="101" ht="15.75" customHeight="1">
      <c r="A101" s="15" t="inlineStr">
        <is>
          <t>São Martinho</t>
        </is>
      </c>
      <c r="B101" s="17" t="inlineStr">
        <is>
          <t>Açúcar e Etanol</t>
        </is>
      </c>
      <c r="C101" s="17" t="n"/>
      <c r="D101" s="17" t="n"/>
      <c r="E101" s="47" t="n"/>
      <c r="F101" s="48" t="n"/>
      <c r="G101" s="17" t="n"/>
      <c r="H101" s="47" t="n"/>
      <c r="I101" s="47" t="n"/>
      <c r="J101" s="48" t="n"/>
      <c r="K101" s="17" t="n"/>
      <c r="L101" s="17" t="n"/>
      <c r="M101" s="25" t="n"/>
    </row>
    <row r="102" ht="15.75" customHeight="1">
      <c r="A102" s="17" t="n"/>
      <c r="B102" s="17" t="n"/>
      <c r="C102" s="17" t="n"/>
      <c r="D102" s="17" t="n"/>
      <c r="E102" s="47" t="n"/>
      <c r="F102" s="48" t="n"/>
      <c r="G102" s="17" t="n"/>
      <c r="H102" s="47" t="n"/>
      <c r="I102" s="47" t="n"/>
      <c r="J102" s="48" t="n"/>
      <c r="K102" s="17" t="n"/>
      <c r="L102" s="17" t="n"/>
      <c r="M102" s="25" t="n"/>
    </row>
    <row r="103" ht="15.75" customHeight="1">
      <c r="A103" s="17" t="n"/>
      <c r="B103" s="17" t="n"/>
      <c r="C103" s="17" t="n"/>
      <c r="D103" s="17" t="n"/>
      <c r="E103" s="47" t="n"/>
      <c r="F103" s="48" t="n"/>
      <c r="G103" s="17" t="n"/>
      <c r="H103" s="47" t="n"/>
      <c r="I103" s="47" t="n"/>
      <c r="J103" s="48" t="n"/>
      <c r="K103" s="17" t="n"/>
      <c r="L103" s="17" t="n"/>
      <c r="M103" s="25" t="n"/>
    </row>
    <row r="104" ht="15.75" customHeight="1">
      <c r="A104" s="26" t="inlineStr">
        <is>
          <t>Adecoagro</t>
        </is>
      </c>
      <c r="B104" s="28" t="inlineStr">
        <is>
          <t>Agronegócio</t>
        </is>
      </c>
      <c r="C104" s="28" t="n"/>
      <c r="D104" s="28" t="n"/>
      <c r="E104" s="49" t="n"/>
      <c r="F104" s="50" t="n"/>
      <c r="G104" s="28" t="n"/>
      <c r="H104" s="49" t="n"/>
      <c r="I104" s="49" t="n"/>
      <c r="J104" s="50" t="n"/>
      <c r="K104" s="28" t="n"/>
      <c r="L104" s="28" t="n"/>
      <c r="M104" s="36" t="n"/>
    </row>
    <row r="105" ht="15.75" customHeight="1">
      <c r="A105" s="28" t="n"/>
      <c r="B105" s="28" t="n"/>
      <c r="C105" s="28" t="n"/>
      <c r="D105" s="28" t="n"/>
      <c r="E105" s="49" t="n"/>
      <c r="F105" s="50" t="n"/>
      <c r="G105" s="28" t="n"/>
      <c r="H105" s="49" t="n"/>
      <c r="I105" s="49" t="n"/>
      <c r="J105" s="50" t="n"/>
      <c r="K105" s="28" t="n"/>
      <c r="L105" s="28" t="n"/>
      <c r="M105" s="36" t="n"/>
    </row>
    <row r="106" ht="15.75" customHeight="1">
      <c r="A106" s="28" t="n"/>
      <c r="B106" s="28" t="n"/>
      <c r="C106" s="28" t="n"/>
      <c r="D106" s="28" t="n"/>
      <c r="E106" s="49" t="n"/>
      <c r="F106" s="50" t="n"/>
      <c r="G106" s="28" t="n"/>
      <c r="H106" s="49" t="n"/>
      <c r="I106" s="49" t="n"/>
      <c r="J106" s="50" t="n"/>
      <c r="K106" s="28" t="n"/>
      <c r="L106" s="28" t="n"/>
      <c r="M106" s="36" t="n"/>
    </row>
    <row r="107" ht="15.75" customHeight="1">
      <c r="A107" s="15" t="inlineStr">
        <is>
          <t>BRF</t>
        </is>
      </c>
      <c r="B107" s="17" t="inlineStr">
        <is>
          <t>Alimentos</t>
        </is>
      </c>
      <c r="C107" s="17" t="n"/>
      <c r="D107" s="17" t="n"/>
      <c r="E107" s="47" t="n"/>
      <c r="F107" s="48" t="n"/>
      <c r="G107" s="17" t="n"/>
      <c r="H107" s="47" t="n"/>
      <c r="I107" s="47" t="n"/>
      <c r="J107" s="48" t="n"/>
      <c r="K107" s="17" t="n"/>
      <c r="L107" s="17" t="n"/>
      <c r="M107" s="25" t="n"/>
    </row>
    <row r="108" ht="15.75" customHeight="1">
      <c r="A108" s="17" t="n"/>
      <c r="B108" s="17" t="n"/>
      <c r="C108" s="17" t="n"/>
      <c r="D108" s="17" t="n"/>
      <c r="E108" s="47" t="n"/>
      <c r="F108" s="48" t="n"/>
      <c r="G108" s="17" t="n"/>
      <c r="H108" s="47" t="n"/>
      <c r="I108" s="47" t="n"/>
      <c r="J108" s="48" t="n"/>
      <c r="K108" s="17" t="n"/>
      <c r="L108" s="17" t="n"/>
      <c r="M108" s="25" t="n"/>
    </row>
    <row r="109" ht="15.75" customHeight="1">
      <c r="A109" s="17" t="n"/>
      <c r="B109" s="17" t="n"/>
      <c r="C109" s="17" t="n"/>
      <c r="D109" s="17" t="n"/>
      <c r="E109" s="47" t="n"/>
      <c r="F109" s="48" t="n"/>
      <c r="G109" s="17" t="n"/>
      <c r="H109" s="47" t="n"/>
      <c r="I109" s="47" t="n"/>
      <c r="J109" s="48" t="n"/>
      <c r="K109" s="17" t="n"/>
      <c r="L109" s="17" t="n"/>
      <c r="M109" s="25" t="n"/>
    </row>
    <row r="110" ht="15.75" customHeight="1">
      <c r="A110" s="26" t="inlineStr">
        <is>
          <t>Ânima</t>
        </is>
      </c>
      <c r="B110" s="28" t="inlineStr">
        <is>
          <t>Educação</t>
        </is>
      </c>
      <c r="C110" s="28" t="inlineStr">
        <is>
          <t>Debênture</t>
        </is>
      </c>
      <c r="D110" s="28" t="inlineStr">
        <is>
          <t>4ª Emissão — Série 1</t>
        </is>
      </c>
      <c r="E110" s="49" t="n">
        <v>44923</v>
      </c>
      <c r="F110" s="50" t="n">
        <v>596.6</v>
      </c>
      <c r="G110" s="28" t="inlineStr">
        <is>
          <t>BRL</t>
        </is>
      </c>
      <c r="H110" s="49" t="n">
        <v>46734</v>
      </c>
      <c r="I110" s="49" t="n">
        <v>46734</v>
      </c>
      <c r="J110" s="50" t="n">
        <v>596.6</v>
      </c>
      <c r="K110" s="28" t="inlineStr">
        <is>
          <t>CDI+1,65% aa</t>
        </is>
      </c>
      <c r="L110" s="28" t="inlineStr">
        <is>
          <t>CDI</t>
        </is>
      </c>
      <c r="M110" s="71" t="inlineStr">
        <is>
          <t>Bullet. Covenant: DL/EBITDA Ajustado Pf ≤3,0x; EBITDA Pf/Desp.Fin. ≥1,3</t>
        </is>
      </c>
    </row>
    <row r="111" ht="15.75" customHeight="1">
      <c r="A111" t="inlineStr">
        <is>
          <t>Ânima</t>
        </is>
      </c>
      <c r="B111" t="inlineStr">
        <is>
          <t>Educação</t>
        </is>
      </c>
      <c r="C111" t="inlineStr">
        <is>
          <t>Debênture</t>
        </is>
      </c>
      <c r="D111" t="inlineStr">
        <is>
          <t>4ª Emissão — Série 2</t>
        </is>
      </c>
      <c r="E111" s="72" t="n">
        <v>44923</v>
      </c>
      <c r="F111" t="n">
        <v>211.6</v>
      </c>
      <c r="G111" t="inlineStr">
        <is>
          <t>BRL</t>
        </is>
      </c>
      <c r="H111" s="72" t="n">
        <v>47465</v>
      </c>
      <c r="I111" s="72" t="n">
        <v>47100</v>
      </c>
      <c r="K111" t="inlineStr">
        <is>
          <t>IPCA+8,05% aa</t>
        </is>
      </c>
      <c r="L111" t="inlineStr">
        <is>
          <t>IPCA</t>
        </is>
      </c>
      <c r="M111" s="73" t="inlineStr">
        <is>
          <t>Amort. anual: dez/2028 e dez/2029. Covenant: igual Série 1</t>
        </is>
      </c>
    </row>
    <row r="112" ht="15.75" customHeight="1">
      <c r="A112" t="inlineStr">
        <is>
          <t>Ânima</t>
        </is>
      </c>
      <c r="B112" t="inlineStr">
        <is>
          <t>Educação</t>
        </is>
      </c>
      <c r="C112" t="inlineStr">
        <is>
          <t>Debênture</t>
        </is>
      </c>
      <c r="D112" t="inlineStr">
        <is>
          <t>5ª Emissão</t>
        </is>
      </c>
      <c r="E112" s="72" t="n">
        <v>45434</v>
      </c>
      <c r="F112" t="n">
        <v>211.4</v>
      </c>
      <c r="G112" t="inlineStr">
        <is>
          <t>BRL</t>
        </is>
      </c>
      <c r="H112" s="72" t="n">
        <v>47253</v>
      </c>
      <c r="I112" s="72" t="n">
        <v>46157</v>
      </c>
      <c r="K112" t="inlineStr">
        <is>
          <t>CDI+1,92% aa</t>
        </is>
      </c>
      <c r="L112" t="inlineStr">
        <is>
          <t>CDI</t>
        </is>
      </c>
      <c r="M112" s="73" t="inlineStr">
        <is>
          <t>Amort. anual a partir mai/2026. Covenant: DL/EBITDA Ajustado Pf ≤3,0x</t>
        </is>
      </c>
    </row>
    <row r="113" ht="15.75" customHeight="1">
      <c r="A113" t="inlineStr">
        <is>
          <t>Ânima</t>
        </is>
      </c>
      <c r="B113" t="inlineStr">
        <is>
          <t>Educação</t>
        </is>
      </c>
      <c r="C113" t="inlineStr">
        <is>
          <t>Debênture</t>
        </is>
      </c>
      <c r="D113" t="inlineStr">
        <is>
          <t>6ª Emissão</t>
        </is>
      </c>
      <c r="E113" s="72" t="n">
        <v>45524</v>
      </c>
      <c r="F113" t="n">
        <v>319.8</v>
      </c>
      <c r="G113" t="inlineStr">
        <is>
          <t>BRL</t>
        </is>
      </c>
      <c r="H113" s="72" t="n">
        <v>47346</v>
      </c>
      <c r="I113" s="72" t="n">
        <v>46250</v>
      </c>
      <c r="K113" t="inlineStr">
        <is>
          <t>CDI+1,92% aa</t>
        </is>
      </c>
      <c r="L113" t="inlineStr">
        <is>
          <t>CDI</t>
        </is>
      </c>
      <c r="M113" s="73" t="inlineStr">
        <is>
          <t>Amort. semestral a partir fev/2026. Covenant: DL/EBITDA Ajustado Pf ≤3,0x</t>
        </is>
      </c>
    </row>
    <row r="114" ht="15.75" customHeight="1">
      <c r="A114" t="inlineStr">
        <is>
          <t>Ânima</t>
        </is>
      </c>
      <c r="B114" t="inlineStr">
        <is>
          <t>Educação</t>
        </is>
      </c>
      <c r="C114" t="inlineStr">
        <is>
          <t>Debênture</t>
        </is>
      </c>
      <c r="D114" t="inlineStr">
        <is>
          <t>7ª Emissão</t>
        </is>
      </c>
      <c r="E114" s="72" t="n">
        <v>45798</v>
      </c>
      <c r="F114" t="n">
        <v>157.4</v>
      </c>
      <c r="G114" t="inlineStr">
        <is>
          <t>BRL</t>
        </is>
      </c>
      <c r="H114" s="72" t="n">
        <v>47436</v>
      </c>
      <c r="I114" s="72" t="n">
        <v>46887</v>
      </c>
      <c r="K114" t="inlineStr">
        <is>
          <t>CDI+1,60% aa</t>
        </is>
      </c>
      <c r="L114" t="inlineStr">
        <is>
          <t>CDI</t>
        </is>
      </c>
      <c r="M114" s="73" t="inlineStr">
        <is>
          <t>2 parcelas: mai/2028 e nov/2029. Covenant: DL/EBITDA Ajustado Pf ≤3,0x</t>
        </is>
      </c>
    </row>
    <row r="115" ht="15.75" customHeight="1">
      <c r="A115" t="inlineStr">
        <is>
          <t>Ânima</t>
        </is>
      </c>
      <c r="B115" t="inlineStr">
        <is>
          <t>Educação</t>
        </is>
      </c>
      <c r="C115" t="inlineStr">
        <is>
          <t>Debênture</t>
        </is>
      </c>
      <c r="D115" t="inlineStr">
        <is>
          <t>8ª Emissão</t>
        </is>
      </c>
      <c r="E115" s="72" t="n">
        <v>45945</v>
      </c>
      <c r="F115" t="n">
        <v>315.3</v>
      </c>
      <c r="G115" t="inlineStr">
        <is>
          <t>BRL</t>
        </is>
      </c>
      <c r="H115" s="72" t="n">
        <v>47406</v>
      </c>
      <c r="I115" s="72" t="n">
        <v>47041</v>
      </c>
      <c r="K115" t="inlineStr">
        <is>
          <t>CDI+1,50% aa</t>
        </is>
      </c>
      <c r="L115" t="inlineStr">
        <is>
          <t>CDI</t>
        </is>
      </c>
      <c r="M115" s="73" t="inlineStr">
        <is>
          <t>Amort. a partir out/2028. Covenant: DL/EBITDA Ajustado Pf ≤3,0x</t>
        </is>
      </c>
    </row>
    <row r="116" ht="15.75" customHeight="1">
      <c r="A116" t="inlineStr">
        <is>
          <t>Ânima</t>
        </is>
      </c>
      <c r="B116" t="inlineStr">
        <is>
          <t>Educação</t>
        </is>
      </c>
      <c r="C116" t="inlineStr">
        <is>
          <t>Bancário</t>
        </is>
      </c>
      <c r="D116" t="inlineStr">
        <is>
          <t>Banco ABC 3</t>
        </is>
      </c>
      <c r="E116" s="72" t="n">
        <v>45565</v>
      </c>
      <c r="F116" t="n">
        <v>104.4</v>
      </c>
      <c r="G116" t="inlineStr">
        <is>
          <t>BRL</t>
        </is>
      </c>
      <c r="H116" s="72" t="n">
        <v>46657</v>
      </c>
      <c r="I116" s="72" t="n">
        <v>46200</v>
      </c>
      <c r="K116" t="inlineStr">
        <is>
          <t>CDI+1,75% aa</t>
        </is>
      </c>
      <c r="L116" t="inlineStr">
        <is>
          <t>CDI</t>
        </is>
      </c>
      <c r="M116" s="73" t="inlineStr">
        <is>
          <t>Amort. trim. desde dez/2025. Covenant: DL/EBITDA Ajustado Pf ≤3,0x</t>
        </is>
      </c>
    </row>
    <row r="117" ht="15.75" customHeight="1">
      <c r="A117" t="inlineStr">
        <is>
          <t>Ânima</t>
        </is>
      </c>
      <c r="B117" t="inlineStr">
        <is>
          <t>Educação</t>
        </is>
      </c>
      <c r="C117" t="inlineStr">
        <is>
          <t>Bancário</t>
        </is>
      </c>
      <c r="D117" t="inlineStr">
        <is>
          <t>BB Capital de Giro 1</t>
        </is>
      </c>
      <c r="E117" s="72" t="n">
        <v>45105</v>
      </c>
      <c r="F117" t="n">
        <v>87.2</v>
      </c>
      <c r="G117" t="inlineStr">
        <is>
          <t>BRL</t>
        </is>
      </c>
      <c r="H117" s="72" t="n">
        <v>47386</v>
      </c>
      <c r="I117" s="72" t="n">
        <v>46471</v>
      </c>
      <c r="K117" t="inlineStr">
        <is>
          <t>CDI+1,65% aa</t>
        </is>
      </c>
      <c r="L117" t="inlineStr">
        <is>
          <t>CDI</t>
        </is>
      </c>
      <c r="M117" s="73" t="inlineStr">
        <is>
          <t>Amort. semestral. Covenant: DL/EBITDA ajustado &lt;3,5x aa</t>
        </is>
      </c>
    </row>
    <row r="118" ht="15.75" customHeight="1">
      <c r="A118" t="inlineStr">
        <is>
          <t>Ânima</t>
        </is>
      </c>
      <c r="B118" t="inlineStr">
        <is>
          <t>Educação</t>
        </is>
      </c>
      <c r="C118" t="inlineStr">
        <is>
          <t>Bancário</t>
        </is>
      </c>
      <c r="D118" t="inlineStr">
        <is>
          <t>BB Capital de Giro 2</t>
        </is>
      </c>
      <c r="E118" s="72" t="n">
        <v>45043</v>
      </c>
      <c r="F118" t="n">
        <v>81</v>
      </c>
      <c r="G118" t="inlineStr">
        <is>
          <t>BRL</t>
        </is>
      </c>
      <c r="H118" s="72" t="n">
        <v>47389</v>
      </c>
      <c r="I118" s="72" t="n">
        <v>46474</v>
      </c>
      <c r="K118" t="inlineStr">
        <is>
          <t>CDI+1,65% aa</t>
        </is>
      </c>
      <c r="L118" t="inlineStr">
        <is>
          <t>CDI</t>
        </is>
      </c>
      <c r="M118" s="73" t="inlineStr">
        <is>
          <t>Amort. semestral. Sem covenant explícito</t>
        </is>
      </c>
    </row>
    <row r="119" ht="15.75" customHeight="1">
      <c r="A119" t="inlineStr">
        <is>
          <t>Ânima</t>
        </is>
      </c>
      <c r="B119" t="inlineStr">
        <is>
          <t>Educação</t>
        </is>
      </c>
      <c r="C119" t="inlineStr">
        <is>
          <t>Bancário</t>
        </is>
      </c>
      <c r="D119" t="inlineStr">
        <is>
          <t>BB Capital de Giro 3</t>
        </is>
      </c>
      <c r="E119" s="72" t="n">
        <v>45111</v>
      </c>
      <c r="F119" t="n">
        <v>88.3</v>
      </c>
      <c r="G119" t="inlineStr">
        <is>
          <t>BRL</t>
        </is>
      </c>
      <c r="H119" s="72" t="n">
        <v>47386</v>
      </c>
      <c r="I119" s="72" t="n">
        <v>46471</v>
      </c>
      <c r="K119" t="inlineStr">
        <is>
          <t>CDI+1,65% aa</t>
        </is>
      </c>
      <c r="L119" t="inlineStr">
        <is>
          <t>CDI</t>
        </is>
      </c>
      <c r="M119" s="73" t="inlineStr">
        <is>
          <t>Amort. semestral. Covenant: DL/EBITDA ajustado &lt;3,5x aa</t>
        </is>
      </c>
    </row>
    <row r="120" ht="15.75" customHeight="1">
      <c r="A120" t="inlineStr">
        <is>
          <t>Ânima</t>
        </is>
      </c>
      <c r="B120" t="inlineStr">
        <is>
          <t>Educação</t>
        </is>
      </c>
      <c r="C120" t="inlineStr">
        <is>
          <t>Empréstimo</t>
        </is>
      </c>
      <c r="D120" t="inlineStr">
        <is>
          <t>IFC (USD)</t>
        </is>
      </c>
      <c r="E120" s="72" t="n">
        <v>44022</v>
      </c>
      <c r="F120" t="n">
        <v>81.09999999999999</v>
      </c>
      <c r="G120" t="inlineStr">
        <is>
          <t>USD</t>
        </is>
      </c>
      <c r="H120" s="72" t="n">
        <v>46827</v>
      </c>
      <c r="K120" t="inlineStr">
        <is>
          <t>SOFR+2,43% aa</t>
        </is>
      </c>
      <c r="L120" t="inlineStr">
        <is>
          <t>SOFR</t>
        </is>
      </c>
      <c r="M120" s="73" t="inlineStr">
        <is>
          <t>Moeda original USD; convertido BRL pelo câmbio do balanço. Covenant: Caixa/Div.CP ≥1,20; DL/EBITDA ajustado &lt;3; EBITDA ajustado/Desp.Fin.líquida ≥1,30</t>
        </is>
      </c>
    </row>
    <row r="121" ht="15.75" customHeight="1">
      <c r="A121" s="28" t="inlineStr">
        <is>
          <t>Ânima</t>
        </is>
      </c>
      <c r="B121" s="28" t="inlineStr">
        <is>
          <t>Educação</t>
        </is>
      </c>
      <c r="C121" s="28" t="inlineStr">
        <is>
          <t>Debênture</t>
        </is>
      </c>
      <c r="D121" s="28" t="inlineStr">
        <is>
          <t>Inspirali — 2ª Emissão</t>
        </is>
      </c>
      <c r="E121" s="49" t="n">
        <v>45439</v>
      </c>
      <c r="F121" s="50" t="n">
        <v>2110.6</v>
      </c>
      <c r="G121" s="28" t="inlineStr">
        <is>
          <t>BRL</t>
        </is>
      </c>
      <c r="H121" s="49" t="n">
        <v>47253</v>
      </c>
      <c r="I121" s="49" t="n">
        <v>46522</v>
      </c>
      <c r="J121" s="50" t="n"/>
      <c r="K121" s="28" t="inlineStr">
        <is>
          <t>CDI+1,65% aa</t>
        </is>
      </c>
      <c r="L121" s="28" t="inlineStr">
        <is>
          <t>CDI</t>
        </is>
      </c>
      <c r="M121" s="71" t="inlineStr">
        <is>
          <t>Amort. anual mai/2027→2029. Covenant: DL/EBITDA Ajustado Pf ≤3,5x; EBITDA Pf/Desp.Fin. ≥1,3</t>
        </is>
      </c>
    </row>
    <row r="122" ht="15.75" customHeight="1">
      <c r="A122" s="28" t="inlineStr">
        <is>
          <t>Ânima</t>
        </is>
      </c>
      <c r="B122" s="28" t="inlineStr">
        <is>
          <t>Educação</t>
        </is>
      </c>
      <c r="C122" s="28" t="inlineStr">
        <is>
          <t>Bancário</t>
        </is>
      </c>
      <c r="D122" s="28" t="inlineStr">
        <is>
          <t>BB Capital de Giro (Rede)</t>
        </is>
      </c>
      <c r="E122" s="49" t="n">
        <v>44372</v>
      </c>
      <c r="F122" s="50" t="n">
        <v>124.3</v>
      </c>
      <c r="G122" s="28" t="inlineStr">
        <is>
          <t>BRL</t>
        </is>
      </c>
      <c r="H122" s="49" t="n">
        <v>47021</v>
      </c>
      <c r="I122" s="49" t="n">
        <v>46290</v>
      </c>
      <c r="J122" s="50" t="n"/>
      <c r="K122" s="28" t="inlineStr">
        <is>
          <t>CDI+1,65% aa</t>
        </is>
      </c>
      <c r="L122" s="28" t="inlineStr">
        <is>
          <t>CDI</t>
        </is>
      </c>
      <c r="M122" s="71" t="inlineStr">
        <is>
          <t>Amort. semestral desde mar/2025. Covenant: DL/EBITDA &lt;3,5x</t>
        </is>
      </c>
    </row>
    <row r="123" ht="15.75" customHeight="1">
      <c r="A123" s="15" t="inlineStr">
        <is>
          <t>Inspiralli</t>
        </is>
      </c>
      <c r="B123" s="17" t="inlineStr">
        <is>
          <t>Educação</t>
        </is>
      </c>
      <c r="C123" s="17" t="n"/>
      <c r="D123" s="17" t="n"/>
      <c r="E123" s="47" t="n"/>
      <c r="F123" s="48" t="n"/>
      <c r="G123" s="17" t="n"/>
      <c r="H123" s="47" t="n"/>
      <c r="I123" s="47" t="n"/>
      <c r="J123" s="48" t="n"/>
      <c r="K123" s="17" t="n"/>
      <c r="L123" s="17" t="n"/>
      <c r="M123" s="25" t="n"/>
    </row>
    <row r="124" ht="15.75" customHeight="1">
      <c r="A124" s="17" t="n"/>
      <c r="B124" s="17" t="n"/>
      <c r="C124" s="17" t="n"/>
      <c r="D124" s="17" t="n"/>
      <c r="E124" s="47" t="n"/>
      <c r="F124" s="48" t="n"/>
      <c r="G124" s="17" t="n"/>
      <c r="H124" s="47" t="n"/>
      <c r="I124" s="47" t="n"/>
      <c r="J124" s="48" t="n"/>
      <c r="K124" s="17" t="n"/>
      <c r="L124" s="17" t="n"/>
      <c r="M124" s="25" t="n"/>
    </row>
    <row r="125" ht="15.75" customHeight="1">
      <c r="A125" s="17" t="n"/>
      <c r="B125" s="17" t="n"/>
      <c r="C125" s="17" t="n"/>
      <c r="D125" s="17" t="n"/>
      <c r="E125" s="47" t="n"/>
      <c r="F125" s="48" t="n"/>
      <c r="G125" s="17" t="n"/>
      <c r="H125" s="47" t="n"/>
      <c r="I125" s="47" t="n"/>
      <c r="J125" s="48" t="n"/>
      <c r="K125" s="17" t="n"/>
      <c r="L125" s="17" t="n"/>
      <c r="M125" s="25" t="n"/>
    </row>
    <row r="126" ht="15.75" customHeight="1">
      <c r="A126" s="26" t="inlineStr">
        <is>
          <t>Yduqs</t>
        </is>
      </c>
      <c r="B126" s="28" t="inlineStr">
        <is>
          <t>Educação</t>
        </is>
      </c>
      <c r="C126" s="28" t="inlineStr">
        <is>
          <t>Bancário</t>
        </is>
      </c>
      <c r="D126" s="28" t="inlineStr">
        <is>
          <t>CCB - Itaú</t>
        </is>
      </c>
      <c r="E126" s="49" t="n"/>
      <c r="F126" s="50" t="n">
        <v>208.9</v>
      </c>
      <c r="G126" s="28" t="inlineStr">
        <is>
          <t>BRL</t>
        </is>
      </c>
      <c r="H126" s="49" t="n">
        <v>46173</v>
      </c>
      <c r="I126" s="49" t="n">
        <v>46173</v>
      </c>
      <c r="J126" s="50" t="n">
        <v>208.9</v>
      </c>
      <c r="K126" s="28" t="inlineStr">
        <is>
          <t>CDI+1,15% aa</t>
        </is>
      </c>
      <c r="L126" s="28" t="inlineStr">
        <is>
          <t>CDI</t>
        </is>
      </c>
      <c r="M126" s="71" t="inlineStr">
        <is>
          <t>Prazo médio 0,2 anos (CP). Saldo e data: estimados por prazo médio e pro-rata</t>
        </is>
      </c>
    </row>
    <row r="127" ht="15.75" customHeight="1">
      <c r="A127" t="inlineStr">
        <is>
          <t>Yduqs</t>
        </is>
      </c>
      <c r="B127" t="inlineStr">
        <is>
          <t>Educação</t>
        </is>
      </c>
      <c r="C127" t="inlineStr">
        <is>
          <t>Debênture</t>
        </is>
      </c>
      <c r="D127" t="inlineStr">
        <is>
          <t>7ª Emissão (Única)</t>
        </is>
      </c>
      <c r="F127" t="n">
        <v>312.7</v>
      </c>
      <c r="G127" t="inlineStr">
        <is>
          <t>BRL</t>
        </is>
      </c>
      <c r="H127" s="72" t="n">
        <v>46752</v>
      </c>
      <c r="K127" t="inlineStr">
        <is>
          <t>CDI+0,78% aa</t>
        </is>
      </c>
      <c r="L127" t="inlineStr">
        <is>
          <t>CDI</t>
        </is>
      </c>
      <c r="M127" s="73" t="inlineStr">
        <is>
          <t>Prazo médio 1,7 anos. Data e saldo: estimados</t>
        </is>
      </c>
    </row>
    <row r="128" ht="15.75" customHeight="1">
      <c r="A128" t="inlineStr">
        <is>
          <t>Yduqs</t>
        </is>
      </c>
      <c r="B128" t="inlineStr">
        <is>
          <t>Educação</t>
        </is>
      </c>
      <c r="C128" t="inlineStr">
        <is>
          <t>Debênture</t>
        </is>
      </c>
      <c r="D128" t="inlineStr">
        <is>
          <t>8ª Emissão (Única)</t>
        </is>
      </c>
      <c r="F128" t="n">
        <v>498.7</v>
      </c>
      <c r="G128" t="inlineStr">
        <is>
          <t>BRL</t>
        </is>
      </c>
      <c r="H128" s="72" t="n">
        <v>47664</v>
      </c>
      <c r="K128" t="inlineStr">
        <is>
          <t>CDI+0,85% aa</t>
        </is>
      </c>
      <c r="L128" t="inlineStr">
        <is>
          <t>CDI</t>
        </is>
      </c>
      <c r="M128" s="73" t="inlineStr">
        <is>
          <t>Prazo médio 4,2 anos. Data e saldo: estimados</t>
        </is>
      </c>
    </row>
    <row r="129" ht="15.75" customHeight="1">
      <c r="A129" t="inlineStr">
        <is>
          <t>Yduqs</t>
        </is>
      </c>
      <c r="B129" t="inlineStr">
        <is>
          <t>Educação</t>
        </is>
      </c>
      <c r="C129" t="inlineStr">
        <is>
          <t>Debênture</t>
        </is>
      </c>
      <c r="D129" t="inlineStr">
        <is>
          <t>9ª Emissão — 1ª série</t>
        </is>
      </c>
      <c r="F129" t="n">
        <v>297.9</v>
      </c>
      <c r="G129" t="inlineStr">
        <is>
          <t>BRL</t>
        </is>
      </c>
      <c r="H129" s="72" t="n">
        <v>47026</v>
      </c>
      <c r="K129" t="inlineStr">
        <is>
          <t>CDI+0,82% aa</t>
        </is>
      </c>
      <c r="L129" t="inlineStr">
        <is>
          <t>CDI</t>
        </is>
      </c>
      <c r="M129" s="73" t="inlineStr">
        <is>
          <t>Prazo médio 2,5 anos. Data e saldo: estimados</t>
        </is>
      </c>
    </row>
    <row r="130" ht="15.75" customHeight="1">
      <c r="A130" t="inlineStr">
        <is>
          <t>Yduqs</t>
        </is>
      </c>
      <c r="B130" t="inlineStr">
        <is>
          <t>Educação</t>
        </is>
      </c>
      <c r="C130" t="inlineStr">
        <is>
          <t>Debênture</t>
        </is>
      </c>
      <c r="D130" t="inlineStr">
        <is>
          <t>9ª Emissão — 2ª série</t>
        </is>
      </c>
      <c r="F130" t="n">
        <v>333.9</v>
      </c>
      <c r="G130" t="inlineStr">
        <is>
          <t>BRL</t>
        </is>
      </c>
      <c r="H130" s="72" t="n">
        <v>46843</v>
      </c>
      <c r="K130" t="inlineStr">
        <is>
          <t>CDI+0,90% aa</t>
        </is>
      </c>
      <c r="L130" t="inlineStr">
        <is>
          <t>CDI</t>
        </is>
      </c>
      <c r="M130" s="73" t="inlineStr">
        <is>
          <t>Prazo médio 2,0 anos. Data e saldo: estimados</t>
        </is>
      </c>
    </row>
    <row r="131" ht="15.75" customHeight="1">
      <c r="A131" t="inlineStr">
        <is>
          <t>Yduqs</t>
        </is>
      </c>
      <c r="B131" t="inlineStr">
        <is>
          <t>Educação</t>
        </is>
      </c>
      <c r="C131" t="inlineStr">
        <is>
          <t>Debênture</t>
        </is>
      </c>
      <c r="D131" t="inlineStr">
        <is>
          <t>9ª Emissão — 3ª série</t>
        </is>
      </c>
      <c r="F131" t="n">
        <v>112</v>
      </c>
      <c r="G131" t="inlineStr">
        <is>
          <t>BRL</t>
        </is>
      </c>
      <c r="H131" s="72" t="n">
        <v>47573</v>
      </c>
      <c r="K131" t="inlineStr">
        <is>
          <t>CDI+0,98% aa</t>
        </is>
      </c>
      <c r="L131" t="inlineStr">
        <is>
          <t>CDI</t>
        </is>
      </c>
      <c r="M131" s="73" t="inlineStr">
        <is>
          <t>Prazo médio 4,0 anos. Data e saldo: estimados</t>
        </is>
      </c>
    </row>
    <row r="132" ht="15.75" customHeight="1">
      <c r="A132" t="inlineStr">
        <is>
          <t>Yduqs</t>
        </is>
      </c>
      <c r="B132" t="inlineStr">
        <is>
          <t>Educação</t>
        </is>
      </c>
      <c r="C132" t="inlineStr">
        <is>
          <t>Debênture</t>
        </is>
      </c>
      <c r="D132" t="inlineStr">
        <is>
          <t>10ª Emissão (Única)</t>
        </is>
      </c>
      <c r="F132" t="n">
        <v>1173.1</v>
      </c>
      <c r="G132" t="inlineStr">
        <is>
          <t>BRL</t>
        </is>
      </c>
      <c r="H132" s="72" t="n">
        <v>47026</v>
      </c>
      <c r="K132" t="inlineStr">
        <is>
          <t>CDI+1,25% aa</t>
        </is>
      </c>
      <c r="L132" t="inlineStr">
        <is>
          <t>CDI</t>
        </is>
      </c>
      <c r="M132" s="73" t="inlineStr">
        <is>
          <t>Prazo médio 2,5 anos. Maior instrumento (31% da dívida). Data e saldo: estimados</t>
        </is>
      </c>
    </row>
    <row r="133" ht="15.75" customHeight="1">
      <c r="A133" s="28" t="inlineStr">
        <is>
          <t>Yduqs</t>
        </is>
      </c>
      <c r="B133" s="28" t="inlineStr">
        <is>
          <t>Educação</t>
        </is>
      </c>
      <c r="C133" s="28" t="inlineStr">
        <is>
          <t>Debênture</t>
        </is>
      </c>
      <c r="D133" s="28" t="inlineStr">
        <is>
          <t>11ª Emissão (Única)</t>
        </is>
      </c>
      <c r="E133" s="49" t="n"/>
      <c r="F133" s="50" t="n">
        <v>313.1</v>
      </c>
      <c r="G133" s="28" t="inlineStr">
        <is>
          <t>BRL</t>
        </is>
      </c>
      <c r="H133" s="49" t="n">
        <v>47999</v>
      </c>
      <c r="I133" s="49" t="n"/>
      <c r="J133" s="50" t="n"/>
      <c r="K133" s="28" t="inlineStr">
        <is>
          <t>CDI+1,05% aa</t>
        </is>
      </c>
      <c r="L133" s="28" t="inlineStr">
        <is>
          <t>CDI</t>
        </is>
      </c>
      <c r="M133" s="71" t="inlineStr">
        <is>
          <t>Prazo médio 5,2 anos. Data e saldo: estimados</t>
        </is>
      </c>
    </row>
    <row r="134" ht="15.75" customHeight="1">
      <c r="A134" s="28" t="inlineStr">
        <is>
          <t>Yduqs</t>
        </is>
      </c>
      <c r="B134" s="28" t="inlineStr">
        <is>
          <t>Educação</t>
        </is>
      </c>
      <c r="C134" s="28" t="inlineStr">
        <is>
          <t>Debênture</t>
        </is>
      </c>
      <c r="D134" s="28" t="inlineStr">
        <is>
          <t>12ª Emissão (Única)</t>
        </is>
      </c>
      <c r="E134" s="49" t="n"/>
      <c r="F134" s="50" t="n">
        <v>516.4</v>
      </c>
      <c r="G134" s="28" t="inlineStr">
        <is>
          <t>BRL</t>
        </is>
      </c>
      <c r="H134" s="49" t="n">
        <v>47514</v>
      </c>
      <c r="I134" s="49" t="n"/>
      <c r="J134" s="50" t="n"/>
      <c r="K134" s="28" t="inlineStr">
        <is>
          <t>CDI+0,70% aa</t>
        </is>
      </c>
      <c r="L134" s="28" t="inlineStr">
        <is>
          <t>CDI</t>
        </is>
      </c>
      <c r="M134" s="71" t="inlineStr">
        <is>
          <t>Prazo médio 3,7 anos. Data e saldo: estimados</t>
        </is>
      </c>
    </row>
    <row r="135" ht="15.75" customHeight="1">
      <c r="A135" s="15" t="inlineStr">
        <is>
          <t>Afya</t>
        </is>
      </c>
      <c r="B135" s="17" t="inlineStr">
        <is>
          <t>Educação</t>
        </is>
      </c>
      <c r="C135" s="17" t="inlineStr">
        <is>
          <t>Debênture</t>
        </is>
      </c>
      <c r="D135" s="17" t="inlineStr">
        <is>
          <t>Notas Comerciais 1ª Série</t>
        </is>
      </c>
      <c r="E135" s="47" t="n">
        <v>45945</v>
      </c>
      <c r="F135" s="48" t="n">
        <v>498</v>
      </c>
      <c r="G135" s="17" t="inlineStr">
        <is>
          <t>BRL</t>
        </is>
      </c>
      <c r="H135" s="47" t="n">
        <v>47041</v>
      </c>
      <c r="I135" s="47" t="n">
        <v>47041</v>
      </c>
      <c r="J135" s="48" t="n">
        <v>498</v>
      </c>
      <c r="K135" s="17" t="inlineStr">
        <is>
          <t>CDI+0,70% aa</t>
        </is>
      </c>
      <c r="L135" s="17" t="inlineStr">
        <is>
          <t>CDI</t>
        </is>
      </c>
      <c r="M135" s="74" t="inlineStr">
        <is>
          <t>Bullet. Emissão via Opea Securitizadora. Covenant: DL (ex-IFRS16)/Adj.EBITDA ≤3,0x anual</t>
        </is>
      </c>
    </row>
    <row r="136" ht="15.75" customHeight="1">
      <c r="A136" t="inlineStr">
        <is>
          <t>Afya</t>
        </is>
      </c>
      <c r="B136" t="inlineStr">
        <is>
          <t>Educação</t>
        </is>
      </c>
      <c r="C136" t="inlineStr">
        <is>
          <t>Debênture</t>
        </is>
      </c>
      <c r="D136" t="inlineStr">
        <is>
          <t>Notas Comerciais 2ª Série</t>
        </is>
      </c>
      <c r="E136" s="72" t="n">
        <v>45945</v>
      </c>
      <c r="F136" t="n">
        <v>996</v>
      </c>
      <c r="G136" t="inlineStr">
        <is>
          <t>BRL</t>
        </is>
      </c>
      <c r="H136" s="72" t="n">
        <v>47771</v>
      </c>
      <c r="I136" s="72" t="n">
        <v>47771</v>
      </c>
      <c r="J136" t="n">
        <v>996</v>
      </c>
      <c r="K136" t="inlineStr">
        <is>
          <t>CDI+0,85% aa</t>
        </is>
      </c>
      <c r="L136" t="inlineStr">
        <is>
          <t>CDI</t>
        </is>
      </c>
      <c r="M136" s="73" t="inlineStr">
        <is>
          <t>Bullet. Mesmo covenant da 1ª Série. Total emissão R$1,5bi (R$500mm+R$1.000mm)</t>
        </is>
      </c>
    </row>
    <row r="137" ht="15.75" customHeight="1">
      <c r="A137" s="17" t="inlineStr">
        <is>
          <t>Afya</t>
        </is>
      </c>
      <c r="B137" s="17" t="inlineStr">
        <is>
          <t>Educação</t>
        </is>
      </c>
      <c r="C137" s="17" t="inlineStr">
        <is>
          <t>Empréstimo</t>
        </is>
      </c>
      <c r="D137" s="17" t="inlineStr">
        <is>
          <t>IFC</t>
        </is>
      </c>
      <c r="E137" s="47" t="n">
        <v>43831</v>
      </c>
      <c r="F137" s="48" t="n">
        <v>530</v>
      </c>
      <c r="G137" s="17" t="inlineStr">
        <is>
          <t>USD</t>
        </is>
      </c>
      <c r="H137" s="47" t="n">
        <v>47149</v>
      </c>
      <c r="I137" s="47" t="n"/>
      <c r="J137" s="48" t="n"/>
      <c r="K137" s="17" t="inlineStr">
        <is>
          <t>SOFR+spread aa</t>
        </is>
      </c>
      <c r="L137" s="17" t="inlineStr">
        <is>
          <t>SOFR</t>
        </is>
      </c>
      <c r="M137" s="74" t="inlineStr">
        <is>
          <t>Moeda original USD; convertido BRL pelo câmbio do balanço. Amortização trimestral. Duration 2,8 anos (mar/2026). Data emissão aproximada.</t>
        </is>
      </c>
    </row>
    <row r="138" ht="15.75" customHeight="1">
      <c r="A138" s="17" t="inlineStr">
        <is>
          <t>Afya</t>
        </is>
      </c>
      <c r="B138" s="17" t="inlineStr">
        <is>
          <t>Educação</t>
        </is>
      </c>
      <c r="C138" s="17" t="inlineStr">
        <is>
          <t>Outro</t>
        </is>
      </c>
      <c r="D138" s="17" t="inlineStr">
        <is>
          <t>Contas a Pagar a Vendedores (M&amp;A)</t>
        </is>
      </c>
      <c r="E138" s="47" t="n"/>
      <c r="F138" s="48" t="n">
        <v>360</v>
      </c>
      <c r="G138" s="17" t="inlineStr">
        <is>
          <t>BRL</t>
        </is>
      </c>
      <c r="H138" s="47" t="n">
        <v>47664</v>
      </c>
      <c r="I138" s="47" t="n"/>
      <c r="J138" s="48" t="n"/>
      <c r="K138" s="17" t="inlineStr">
        <is>
          <t>100% CDI aa</t>
        </is>
      </c>
      <c r="L138" s="17" t="inlineStr">
        <is>
          <t>CDI</t>
        </is>
      </c>
      <c r="M138" s="74" t="inlineStr">
        <is>
          <t>Earn-outs e parcelas devidas a ex-sócios de empresas adquiridas. Incluído na Dívida Bruta do release. Duration 4,2 anos. Não é dívida financeira clássica.</t>
        </is>
      </c>
    </row>
    <row r="139" ht="15.75" customHeight="1">
      <c r="A139" s="26" t="inlineStr">
        <is>
          <t>Cruzeiro do Sul</t>
        </is>
      </c>
      <c r="B139" s="28" t="inlineStr">
        <is>
          <t>Educação</t>
        </is>
      </c>
      <c r="C139" s="28" t="n"/>
      <c r="D139" s="28" t="n"/>
      <c r="E139" s="49" t="n"/>
      <c r="F139" s="50" t="n"/>
      <c r="G139" s="28" t="n"/>
      <c r="H139" s="49" t="n"/>
      <c r="I139" s="49" t="n"/>
      <c r="J139" s="50" t="n"/>
      <c r="K139" s="28" t="n"/>
      <c r="L139" s="28" t="n"/>
      <c r="M139" s="36" t="n"/>
    </row>
    <row r="140" ht="15.75" customHeight="1">
      <c r="A140" s="28" t="n"/>
      <c r="B140" s="28" t="n"/>
      <c r="C140" s="28" t="n"/>
      <c r="D140" s="28" t="n"/>
      <c r="E140" s="49" t="n"/>
      <c r="F140" s="50" t="n"/>
      <c r="G140" s="28" t="n"/>
      <c r="H140" s="49" t="n"/>
      <c r="I140" s="49" t="n"/>
      <c r="J140" s="50" t="n"/>
      <c r="K140" s="28" t="n"/>
      <c r="L140" s="28" t="n"/>
      <c r="M140" s="36" t="n"/>
    </row>
    <row r="141" ht="15.75" customHeight="1">
      <c r="A141" s="28" t="n"/>
      <c r="B141" s="28" t="n"/>
      <c r="C141" s="28" t="n"/>
      <c r="D141" s="28" t="n"/>
      <c r="E141" s="49" t="n"/>
      <c r="F141" s="50" t="n"/>
      <c r="G141" s="28" t="n"/>
      <c r="H141" s="49" t="n"/>
      <c r="I141" s="49" t="n"/>
      <c r="J141" s="50" t="n"/>
      <c r="K141" s="28" t="n"/>
      <c r="L141" s="28" t="n"/>
      <c r="M141" s="36" t="n"/>
    </row>
    <row r="142" ht="15.75" customHeight="1">
      <c r="A142" s="15" t="inlineStr">
        <is>
          <t>Cogna</t>
        </is>
      </c>
      <c r="B142" s="17" t="inlineStr">
        <is>
          <t>Educação</t>
        </is>
      </c>
      <c r="C142" s="17" t="n"/>
      <c r="D142" s="17" t="n"/>
      <c r="E142" s="47" t="n"/>
      <c r="F142" s="48" t="n"/>
      <c r="G142" s="17" t="n"/>
      <c r="H142" s="47" t="n"/>
      <c r="I142" s="47" t="n"/>
      <c r="J142" s="48" t="n"/>
      <c r="K142" s="17" t="n"/>
      <c r="L142" s="17" t="n"/>
      <c r="M142" s="25" t="n"/>
    </row>
    <row r="143">
      <c r="A143" s="17" t="n"/>
      <c r="B143" s="17" t="n"/>
      <c r="C143" s="17" t="n"/>
      <c r="D143" s="17" t="n"/>
      <c r="E143" s="47" t="n"/>
      <c r="F143" s="48" t="n"/>
      <c r="G143" s="17" t="n"/>
      <c r="H143" s="47" t="n"/>
      <c r="I143" s="47" t="n"/>
      <c r="J143" s="48" t="n"/>
      <c r="K143" s="17" t="n"/>
      <c r="L143" s="17" t="n"/>
      <c r="M143" s="25" t="n"/>
    </row>
    <row r="144">
      <c r="A144" s="17" t="n"/>
      <c r="B144" s="17" t="n"/>
      <c r="C144" s="17" t="n"/>
      <c r="D144" s="17" t="n"/>
      <c r="E144" s="47" t="n"/>
      <c r="F144" s="48" t="n"/>
      <c r="G144" s="17" t="n"/>
      <c r="H144" s="47" t="n"/>
      <c r="I144" s="47" t="n"/>
      <c r="J144" s="48" t="n"/>
      <c r="K144" s="17" t="n"/>
      <c r="L144" s="17" t="n"/>
      <c r="M144" s="25" t="n"/>
    </row>
    <row r="145">
      <c r="A145" s="26" t="inlineStr">
        <is>
          <t>Vitru</t>
        </is>
      </c>
      <c r="B145" s="28" t="inlineStr">
        <is>
          <t>Educação</t>
        </is>
      </c>
      <c r="C145" s="28" t="n"/>
      <c r="D145" s="28" t="n"/>
      <c r="E145" s="49" t="n"/>
      <c r="F145" s="50" t="n"/>
      <c r="G145" s="28" t="n"/>
      <c r="H145" s="49" t="n"/>
      <c r="I145" s="49" t="n"/>
      <c r="J145" s="50" t="n"/>
      <c r="K145" s="28" t="n"/>
      <c r="L145" s="28" t="n"/>
      <c r="M145" s="36" t="n"/>
    </row>
    <row r="146">
      <c r="A146" s="28" t="n"/>
      <c r="B146" s="28" t="n"/>
      <c r="C146" s="28" t="n"/>
      <c r="D146" s="28" t="n"/>
      <c r="E146" s="49" t="n"/>
      <c r="F146" s="50" t="n"/>
      <c r="G146" s="28" t="n"/>
      <c r="H146" s="49" t="n"/>
      <c r="I146" s="49" t="n"/>
      <c r="J146" s="50" t="n"/>
      <c r="K146" s="28" t="n"/>
      <c r="L146" s="28" t="n"/>
      <c r="M146" s="36" t="n"/>
    </row>
    <row r="147">
      <c r="A147" s="28" t="n"/>
      <c r="B147" s="28" t="n"/>
      <c r="C147" s="28" t="n"/>
      <c r="D147" s="28" t="n"/>
      <c r="E147" s="49" t="n"/>
      <c r="F147" s="50" t="n"/>
      <c r="G147" s="28" t="n"/>
      <c r="H147" s="49" t="n"/>
      <c r="I147" s="49" t="n"/>
      <c r="J147" s="50" t="n"/>
      <c r="K147" s="28" t="n"/>
      <c r="L147" s="28" t="n"/>
      <c r="M147" s="36" t="n"/>
    </row>
    <row r="148">
      <c r="A148" s="15" t="inlineStr">
        <is>
          <t>Ser Educacional</t>
        </is>
      </c>
      <c r="B148" s="17" t="inlineStr">
        <is>
          <t>Educação</t>
        </is>
      </c>
      <c r="C148" s="17" t="n"/>
      <c r="D148" s="17" t="n"/>
      <c r="E148" s="47" t="n"/>
      <c r="F148" s="48" t="n"/>
      <c r="G148" s="17" t="n"/>
      <c r="H148" s="47" t="n"/>
      <c r="I148" s="47" t="n"/>
      <c r="J148" s="48" t="n"/>
      <c r="K148" s="17" t="n"/>
      <c r="L148" s="17" t="n"/>
      <c r="M148" s="25" t="n"/>
    </row>
    <row r="149">
      <c r="A149" s="17" t="n"/>
      <c r="B149" s="17" t="n"/>
      <c r="C149" s="17" t="n"/>
      <c r="D149" s="17" t="n"/>
      <c r="E149" s="47" t="n"/>
      <c r="F149" s="48" t="n"/>
      <c r="G149" s="17" t="n"/>
      <c r="H149" s="47" t="n"/>
      <c r="I149" s="47" t="n"/>
      <c r="J149" s="48" t="n"/>
      <c r="K149" s="17" t="n"/>
      <c r="L149" s="17" t="n"/>
      <c r="M149" s="25" t="n"/>
    </row>
    <row r="150">
      <c r="A150" s="17" t="n"/>
      <c r="B150" s="17" t="n"/>
      <c r="C150" s="17" t="n"/>
      <c r="D150" s="17" t="n"/>
      <c r="E150" s="47" t="n"/>
      <c r="F150" s="48" t="n"/>
      <c r="G150" s="17" t="n"/>
      <c r="H150" s="47" t="n"/>
      <c r="I150" s="47" t="n"/>
      <c r="J150" s="48" t="n"/>
      <c r="K150" s="17" t="n"/>
      <c r="L150" s="17" t="n"/>
      <c r="M150" s="25" t="n"/>
    </row>
    <row r="151">
      <c r="A151" s="26" t="inlineStr">
        <is>
          <t>Salta Educação</t>
        </is>
      </c>
      <c r="B151" s="28" t="inlineStr">
        <is>
          <t>Educação</t>
        </is>
      </c>
      <c r="C151" s="28" t="n"/>
      <c r="D151" s="28" t="n"/>
      <c r="E151" s="49" t="n"/>
      <c r="F151" s="50" t="n"/>
      <c r="G151" s="28" t="n"/>
      <c r="H151" s="49" t="n"/>
      <c r="I151" s="49" t="n"/>
      <c r="J151" s="50" t="n"/>
      <c r="K151" s="28" t="n"/>
      <c r="L151" s="28" t="n"/>
      <c r="M151" s="36" t="n"/>
    </row>
    <row r="152">
      <c r="A152" s="28" t="n"/>
      <c r="B152" s="28" t="n"/>
      <c r="C152" s="28" t="n"/>
      <c r="D152" s="28" t="n"/>
      <c r="E152" s="49" t="n"/>
      <c r="F152" s="50" t="n"/>
      <c r="G152" s="28" t="n"/>
      <c r="H152" s="49" t="n"/>
      <c r="I152" s="49" t="n"/>
      <c r="J152" s="50" t="n"/>
      <c r="K152" s="28" t="n"/>
      <c r="L152" s="28" t="n"/>
      <c r="M152" s="36" t="n"/>
    </row>
    <row r="153">
      <c r="A153" s="28" t="n"/>
      <c r="B153" s="28" t="n"/>
      <c r="C153" s="28" t="n"/>
      <c r="D153" s="28" t="n"/>
      <c r="E153" s="49" t="n"/>
      <c r="F153" s="50" t="n"/>
      <c r="G153" s="28" t="n"/>
      <c r="H153" s="49" t="n"/>
      <c r="I153" s="49" t="n"/>
      <c r="J153" s="50" t="n"/>
      <c r="K153" s="28" t="n"/>
      <c r="L153" s="28" t="n"/>
      <c r="M153" s="36" t="n"/>
    </row>
    <row r="154">
      <c r="A154" s="15" t="inlineStr">
        <is>
          <t>Inspira</t>
        </is>
      </c>
      <c r="B154" s="17" t="inlineStr">
        <is>
          <t>Educação</t>
        </is>
      </c>
      <c r="C154" s="17" t="n"/>
      <c r="D154" s="17" t="n"/>
      <c r="E154" s="47" t="n"/>
      <c r="F154" s="48" t="n"/>
      <c r="G154" s="17" t="n"/>
      <c r="H154" s="47" t="n"/>
      <c r="I154" s="47" t="n"/>
      <c r="J154" s="48" t="n"/>
      <c r="K154" s="17" t="n"/>
      <c r="L154" s="17" t="n"/>
      <c r="M154" s="25" t="n"/>
    </row>
    <row r="155">
      <c r="A155" s="17" t="n"/>
      <c r="B155" s="17" t="n"/>
      <c r="C155" s="17" t="n"/>
      <c r="D155" s="17" t="n"/>
      <c r="E155" s="47" t="n"/>
      <c r="F155" s="48" t="n"/>
      <c r="G155" s="17" t="n"/>
      <c r="H155" s="47" t="n"/>
      <c r="I155" s="47" t="n"/>
      <c r="J155" s="48" t="n"/>
      <c r="K155" s="17" t="n"/>
      <c r="L155" s="17" t="n"/>
      <c r="M155" s="25" t="n"/>
    </row>
    <row r="156">
      <c r="A156" s="17" t="n"/>
      <c r="B156" s="17" t="n"/>
      <c r="C156" s="17" t="n"/>
      <c r="D156" s="17" t="n"/>
      <c r="E156" s="47" t="n"/>
      <c r="F156" s="48" t="n"/>
      <c r="G156" s="17" t="n"/>
      <c r="H156" s="47" t="n"/>
      <c r="I156" s="47" t="n"/>
      <c r="J156" s="48" t="n"/>
      <c r="K156" s="17" t="n"/>
      <c r="L156" s="17" t="n"/>
      <c r="M156" s="25" t="n"/>
    </row>
    <row r="157">
      <c r="A157" s="26" t="inlineStr">
        <is>
          <t>Smartfit</t>
        </is>
      </c>
      <c r="B157" s="28" t="inlineStr">
        <is>
          <t>Fitness / Saúde</t>
        </is>
      </c>
      <c r="C157" s="28" t="n"/>
      <c r="D157" s="28" t="n"/>
      <c r="E157" s="49" t="n"/>
      <c r="F157" s="50" t="n"/>
      <c r="G157" s="28" t="n"/>
      <c r="H157" s="49" t="n"/>
      <c r="I157" s="49" t="n"/>
      <c r="J157" s="50" t="n"/>
      <c r="K157" s="28" t="n"/>
      <c r="L157" s="28" t="n"/>
      <c r="M157" s="36" t="n"/>
    </row>
    <row r="158">
      <c r="A158" s="28" t="n"/>
      <c r="B158" s="28" t="n"/>
      <c r="C158" s="28" t="n"/>
      <c r="D158" s="28" t="n"/>
      <c r="E158" s="49" t="n"/>
      <c r="F158" s="50" t="n"/>
      <c r="G158" s="28" t="n"/>
      <c r="H158" s="49" t="n"/>
      <c r="I158" s="49" t="n"/>
      <c r="J158" s="50" t="n"/>
      <c r="K158" s="28" t="n"/>
      <c r="L158" s="28" t="n"/>
      <c r="M158" s="36" t="n"/>
    </row>
    <row r="159">
      <c r="A159" s="28" t="n"/>
      <c r="B159" s="28" t="n"/>
      <c r="C159" s="28" t="n"/>
      <c r="D159" s="28" t="n"/>
      <c r="E159" s="49" t="n"/>
      <c r="F159" s="50" t="n"/>
      <c r="G159" s="28" t="n"/>
      <c r="H159" s="49" t="n"/>
      <c r="I159" s="49" t="n"/>
      <c r="J159" s="50" t="n"/>
      <c r="K159" s="28" t="n"/>
      <c r="L159" s="28" t="n"/>
      <c r="M159" s="36" t="n"/>
    </row>
  </sheetData>
  <mergeCells count="5">
    <mergeCell ref="A2:B2"/>
    <mergeCell ref="A1:M1"/>
    <mergeCell ref="C2:D2"/>
    <mergeCell ref="A4:M4"/>
    <mergeCell ref="E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P51"/>
  <sheetViews>
    <sheetView showGridLines="0" zoomScaleNormal="100" workbookViewId="0">
      <selection activeCell="A1" sqref="A1:P1"/>
    </sheetView>
  </sheetViews>
  <sheetFormatPr baseColWidth="10" defaultColWidth="8.6640625" defaultRowHeight="15"/>
  <cols>
    <col width="22" customWidth="1" min="1" max="1"/>
    <col width="18" customWidth="1" min="2" max="2"/>
    <col width="11" customWidth="1" min="3" max="14"/>
    <col width="13" customWidth="1" min="15" max="15"/>
  </cols>
  <sheetData>
    <row r="1" ht="15" customHeight="1">
      <c r="A1" s="13" t="inlineStr">
        <is>
          <t>WALL OF MATURITIES  |  VENCIMENTOS CONSOLIDADOS POR ANO  (R$ mm)</t>
        </is>
      </c>
    </row>
    <row r="2" ht="19.5" customHeight="1">
      <c r="A2" s="51" t="inlineStr">
        <is>
          <t>Empresa</t>
        </is>
      </c>
      <c r="B2" s="51" t="inlineStr">
        <is>
          <t>Setor</t>
        </is>
      </c>
      <c r="C2" s="51" t="inlineStr">
        <is>
          <t>2025</t>
        </is>
      </c>
      <c r="D2" s="51" t="inlineStr">
        <is>
          <t>2026</t>
        </is>
      </c>
      <c r="E2" s="51" t="inlineStr">
        <is>
          <t>2027</t>
        </is>
      </c>
      <c r="F2" s="51" t="inlineStr">
        <is>
          <t>2028</t>
        </is>
      </c>
      <c r="G2" s="51" t="inlineStr">
        <is>
          <t>2029</t>
        </is>
      </c>
      <c r="H2" s="51" t="inlineStr">
        <is>
          <t>2030</t>
        </is>
      </c>
      <c r="I2" s="51" t="inlineStr">
        <is>
          <t>2031</t>
        </is>
      </c>
      <c r="J2" s="51" t="inlineStr">
        <is>
          <t>2032</t>
        </is>
      </c>
      <c r="K2" s="51" t="inlineStr">
        <is>
          <t>2033</t>
        </is>
      </c>
      <c r="L2" s="51" t="inlineStr">
        <is>
          <t>2034</t>
        </is>
      </c>
      <c r="M2" s="51" t="inlineStr">
        <is>
          <t>2035</t>
        </is>
      </c>
      <c r="N2" s="51" t="inlineStr">
        <is>
          <t>2036+</t>
        </is>
      </c>
      <c r="O2" s="51" t="inlineStr">
        <is>
          <t>Total</t>
        </is>
      </c>
    </row>
    <row r="3" ht="15.75" customHeight="1">
      <c r="A3" s="15" t="inlineStr">
        <is>
          <t>Energisa</t>
        </is>
      </c>
      <c r="B3" s="17" t="inlineStr">
        <is>
          <t>Energia Elétrica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52">
        <f>SUM(C3:N3)</f>
        <v/>
      </c>
    </row>
    <row r="4" ht="15.75" customHeight="1">
      <c r="A4" s="26" t="inlineStr">
        <is>
          <t>Cemig</t>
        </is>
      </c>
      <c r="B4" s="28" t="inlineStr">
        <is>
          <t>Energia Elétrica</t>
        </is>
      </c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53">
        <f>SUM(C4:N4)</f>
        <v/>
      </c>
    </row>
    <row r="5" ht="15.75" customHeight="1">
      <c r="A5" s="15" t="inlineStr">
        <is>
          <t>CPFL</t>
        </is>
      </c>
      <c r="B5" s="17" t="inlineStr">
        <is>
          <t>Energia Elétrica</t>
        </is>
      </c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52">
        <f>SUM(C5:N5)</f>
        <v/>
      </c>
    </row>
    <row r="6" ht="15.75" customHeight="1">
      <c r="A6" s="26" t="inlineStr">
        <is>
          <t>Desktop</t>
        </is>
      </c>
      <c r="B6" s="28" t="inlineStr">
        <is>
          <t>Telecom / ISP</t>
        </is>
      </c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53">
        <f>SUM(C6:N6)</f>
        <v/>
      </c>
    </row>
    <row r="7" ht="15.75" customHeight="1">
      <c r="A7" s="15" t="inlineStr">
        <is>
          <t>Unifique</t>
        </is>
      </c>
      <c r="B7" s="17" t="inlineStr">
        <is>
          <t>Telecom / ISP</t>
        </is>
      </c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52">
        <f>SUM(C7:N7)</f>
        <v/>
      </c>
    </row>
    <row r="8" ht="15.75" customHeight="1">
      <c r="A8" s="26" t="inlineStr">
        <is>
          <t>Brisanet</t>
        </is>
      </c>
      <c r="B8" s="28" t="inlineStr">
        <is>
          <t>Telecom / ISP</t>
        </is>
      </c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53">
        <f>SUM(C8:N8)</f>
        <v/>
      </c>
    </row>
    <row r="9" ht="15.75" customHeight="1">
      <c r="A9" s="15" t="inlineStr">
        <is>
          <t>Vero</t>
        </is>
      </c>
      <c r="B9" s="17" t="inlineStr">
        <is>
          <t>Telecom / ISP</t>
        </is>
      </c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52">
        <f>SUM(C9:N9)</f>
        <v/>
      </c>
    </row>
    <row r="10" ht="15.75" customHeight="1">
      <c r="A10" s="26" t="inlineStr">
        <is>
          <t>Alloha</t>
        </is>
      </c>
      <c r="B10" s="28" t="inlineStr">
        <is>
          <t>Telecom / ISP</t>
        </is>
      </c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53">
        <f>SUM(C10:N10)</f>
        <v/>
      </c>
    </row>
    <row r="11" ht="15.75" customHeight="1">
      <c r="A11" s="15" t="inlineStr">
        <is>
          <t>Alares</t>
        </is>
      </c>
      <c r="B11" s="17" t="inlineStr">
        <is>
          <t>Telecom / ISP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52">
        <f>SUM(C11:N11)</f>
        <v/>
      </c>
    </row>
    <row r="12" ht="15.75" customHeight="1">
      <c r="A12" s="26" t="inlineStr">
        <is>
          <t>Tecpar / BrTecPar</t>
        </is>
      </c>
      <c r="B12" s="28" t="inlineStr">
        <is>
          <t>Telecom / ISP</t>
        </is>
      </c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53">
        <f>SUM(C12:N12)</f>
        <v/>
      </c>
    </row>
    <row r="13" ht="15.75" customHeight="1">
      <c r="A13" s="15" t="inlineStr">
        <is>
          <t>Algar</t>
        </is>
      </c>
      <c r="B13" s="17" t="inlineStr">
        <is>
          <t>Telecom / ISP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52">
        <f>SUM(C13:N13)</f>
        <v/>
      </c>
    </row>
    <row r="14" ht="15.75" customHeight="1">
      <c r="A14" s="26" t="inlineStr">
        <is>
          <t>TIM</t>
        </is>
      </c>
      <c r="B14" s="28" t="inlineStr">
        <is>
          <t>Telecom</t>
        </is>
      </c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53">
        <f>SUM(C14:N14)</f>
        <v/>
      </c>
    </row>
    <row r="15" ht="15.75" customHeight="1">
      <c r="A15" s="15" t="inlineStr">
        <is>
          <t>Vamos</t>
        </is>
      </c>
      <c r="B15" s="17" t="inlineStr">
        <is>
          <t>Locação / Transporte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52">
        <f>SUM(C15:N15)</f>
        <v/>
      </c>
    </row>
    <row r="16" ht="15.75" customHeight="1">
      <c r="A16" s="26" t="inlineStr">
        <is>
          <t>Movida</t>
        </is>
      </c>
      <c r="B16" s="28" t="inlineStr">
        <is>
          <t>Locação / Transporte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53">
        <f>SUM(C16:N16)</f>
        <v/>
      </c>
    </row>
    <row r="17" ht="15.75" customHeight="1">
      <c r="A17" s="15" t="inlineStr">
        <is>
          <t>JSL</t>
        </is>
      </c>
      <c r="B17" s="17" t="inlineStr">
        <is>
          <t>Logística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52">
        <f>SUM(C17:N17)</f>
        <v/>
      </c>
    </row>
    <row r="18" ht="15.75" customHeight="1">
      <c r="A18" s="26" t="inlineStr">
        <is>
          <t>Ecorodovias</t>
        </is>
      </c>
      <c r="B18" s="28" t="inlineStr">
        <is>
          <t>Infraestrutura / Rodov.</t>
        </is>
      </c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53">
        <f>SUM(C18:N18)</f>
        <v/>
      </c>
    </row>
    <row r="19" ht="15.75" customHeight="1">
      <c r="A19" s="15" t="inlineStr">
        <is>
          <t>Santos Brasil</t>
        </is>
      </c>
      <c r="B19" s="17" t="inlineStr">
        <is>
          <t>Porto / Logística</t>
        </is>
      </c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52">
        <f>SUM(C19:N19)</f>
        <v/>
      </c>
    </row>
    <row r="20" ht="15.75" customHeight="1">
      <c r="A20" s="26" t="inlineStr">
        <is>
          <t>Copasa</t>
        </is>
      </c>
      <c r="B20" s="28" t="inlineStr">
        <is>
          <t>Saneamento</t>
        </is>
      </c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53">
        <f>SUM(C20:N20)</f>
        <v/>
      </c>
    </row>
    <row r="21" ht="15.75" customHeight="1">
      <c r="A21" s="15" t="inlineStr">
        <is>
          <t>Sanepar</t>
        </is>
      </c>
      <c r="B21" s="17" t="inlineStr">
        <is>
          <t>Saneamento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52">
        <f>SUM(C21:N21)</f>
        <v/>
      </c>
    </row>
    <row r="22" ht="15.75" customHeight="1">
      <c r="A22" s="26" t="inlineStr">
        <is>
          <t>Saneago</t>
        </is>
      </c>
      <c r="B22" s="28" t="inlineStr">
        <is>
          <t>Saneamento</t>
        </is>
      </c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53">
        <f>SUM(C22:N22)</f>
        <v/>
      </c>
    </row>
    <row r="23" ht="15.75" customHeight="1">
      <c r="A23" s="15" t="inlineStr">
        <is>
          <t>Vix</t>
        </is>
      </c>
      <c r="B23" s="17" t="inlineStr">
        <is>
          <t>Logística / Transporte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52">
        <f>SUM(C23:N23)</f>
        <v/>
      </c>
    </row>
    <row r="24" ht="15.75" customHeight="1">
      <c r="A24" s="26" t="inlineStr">
        <is>
          <t>Armac</t>
        </is>
      </c>
      <c r="B24" s="28" t="inlineStr">
        <is>
          <t>Locação</t>
        </is>
      </c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53">
        <f>SUM(C24:N24)</f>
        <v/>
      </c>
    </row>
    <row r="25" ht="15.75" customHeight="1">
      <c r="A25" s="15" t="inlineStr">
        <is>
          <t>Unidas</t>
        </is>
      </c>
      <c r="B25" s="17" t="inlineStr">
        <is>
          <t>Locação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52">
        <f>SUM(C25:N25)</f>
        <v/>
      </c>
    </row>
    <row r="26" ht="15.75" customHeight="1">
      <c r="A26" s="26" t="inlineStr">
        <is>
          <t>Mills</t>
        </is>
      </c>
      <c r="B26" s="28" t="inlineStr">
        <is>
          <t>Locação / Indústria</t>
        </is>
      </c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53">
        <f>SUM(C26:N26)</f>
        <v/>
      </c>
    </row>
    <row r="27" ht="15.75" customHeight="1">
      <c r="A27" s="15" t="inlineStr">
        <is>
          <t>Priner</t>
        </is>
      </c>
      <c r="B27" s="17" t="inlineStr">
        <is>
          <t>Serviços Industriais</t>
        </is>
      </c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52">
        <f>SUM(C27:N27)</f>
        <v/>
      </c>
    </row>
    <row r="28" ht="15.75" customHeight="1">
      <c r="A28" s="26" t="inlineStr">
        <is>
          <t>Aura Minerals</t>
        </is>
      </c>
      <c r="B28" s="28" t="inlineStr">
        <is>
          <t>Mineração</t>
        </is>
      </c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53">
        <f>SUM(C28:N28)</f>
        <v/>
      </c>
    </row>
    <row r="29" ht="15.75" customHeight="1">
      <c r="A29" s="15" t="inlineStr">
        <is>
          <t>Vale</t>
        </is>
      </c>
      <c r="B29" s="17" t="inlineStr">
        <is>
          <t>Mineração</t>
        </is>
      </c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52">
        <f>SUM(C29:N29)</f>
        <v/>
      </c>
    </row>
    <row r="30" ht="15.75" customHeight="1">
      <c r="A30" s="26" t="inlineStr">
        <is>
          <t>Rede D'Or</t>
        </is>
      </c>
      <c r="B30" s="28" t="inlineStr">
        <is>
          <t>Saúde</t>
        </is>
      </c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53">
        <f>SUM(C30:N30)</f>
        <v/>
      </c>
    </row>
    <row r="31" ht="15.75" customHeight="1">
      <c r="A31" s="15" t="inlineStr">
        <is>
          <t>GSH</t>
        </is>
      </c>
      <c r="B31" s="17" t="inlineStr">
        <is>
          <t>Saúde</t>
        </is>
      </c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52">
        <f>SUM(C31:N31)</f>
        <v/>
      </c>
    </row>
    <row r="32" ht="15.75" customHeight="1">
      <c r="A32" s="26" t="inlineStr">
        <is>
          <t>Hapvida</t>
        </is>
      </c>
      <c r="B32" s="28" t="inlineStr">
        <is>
          <t>Saúde</t>
        </is>
      </c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53">
        <f>SUM(C32:N32)</f>
        <v/>
      </c>
    </row>
    <row r="33" ht="15.75" customHeight="1">
      <c r="A33" s="15" t="inlineStr">
        <is>
          <t>Klabin</t>
        </is>
      </c>
      <c r="B33" s="17" t="inlineStr">
        <is>
          <t>Papel e Celulose</t>
        </is>
      </c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52">
        <f>SUM(C33:N33)</f>
        <v/>
      </c>
    </row>
    <row r="34" ht="15.75" customHeight="1">
      <c r="A34" s="26" t="inlineStr">
        <is>
          <t>Unipar</t>
        </is>
      </c>
      <c r="B34" s="28" t="inlineStr">
        <is>
          <t>Química / Petroquímica</t>
        </is>
      </c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53">
        <f>SUM(C34:N34)</f>
        <v/>
      </c>
    </row>
    <row r="35" ht="15.75" customHeight="1">
      <c r="A35" s="15" t="inlineStr">
        <is>
          <t>São Martinho</t>
        </is>
      </c>
      <c r="B35" s="17" t="inlineStr">
        <is>
          <t>Açúcar e Etanol</t>
        </is>
      </c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52">
        <f>SUM(C35:N35)</f>
        <v/>
      </c>
    </row>
    <row r="36" ht="15.75" customHeight="1">
      <c r="A36" s="26" t="inlineStr">
        <is>
          <t>Adecoagro</t>
        </is>
      </c>
      <c r="B36" s="28" t="inlineStr">
        <is>
          <t>Agronegócio</t>
        </is>
      </c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53">
        <f>SUM(C36:N36)</f>
        <v/>
      </c>
    </row>
    <row r="37" ht="15.75" customHeight="1">
      <c r="A37" s="15" t="inlineStr">
        <is>
          <t>BRF</t>
        </is>
      </c>
      <c r="B37" s="17" t="inlineStr">
        <is>
          <t>Alimentos</t>
        </is>
      </c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52">
        <f>SUM(C37:N37)</f>
        <v/>
      </c>
    </row>
    <row r="38" ht="15.75" customHeight="1">
      <c r="A38" s="26" t="inlineStr">
        <is>
          <t>Ânima</t>
        </is>
      </c>
      <c r="B38" s="28" t="inlineStr">
        <is>
          <t>Educação</t>
        </is>
      </c>
      <c r="C38" s="45" t="n"/>
      <c r="D38" s="70" t="n">
        <v>474.8</v>
      </c>
      <c r="E38" s="70" t="n">
        <v>1625</v>
      </c>
      <c r="F38" s="70" t="n">
        <v>1224.8</v>
      </c>
      <c r="G38" s="70" t="n">
        <v>1174.4</v>
      </c>
      <c r="H38" s="45" t="n"/>
      <c r="I38" s="45" t="n"/>
      <c r="J38" s="45" t="n"/>
      <c r="K38" s="45" t="n"/>
      <c r="L38" s="45" t="n"/>
      <c r="M38" s="45" t="n"/>
      <c r="N38" s="45" t="n"/>
      <c r="O38" s="53">
        <f>SUM(C38:N38)</f>
        <v/>
      </c>
    </row>
    <row r="39" ht="15.75" customHeight="1">
      <c r="A39" s="15" t="inlineStr">
        <is>
          <t>Inspiralli</t>
        </is>
      </c>
      <c r="B39" s="17" t="inlineStr">
        <is>
          <t>Educação</t>
        </is>
      </c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52">
        <f>SUM(C39:N39)</f>
        <v/>
      </c>
    </row>
    <row r="40" ht="15.75" customHeight="1">
      <c r="A40" s="26" t="inlineStr">
        <is>
          <t>Yduqs</t>
        </is>
      </c>
      <c r="B40" s="28" t="inlineStr">
        <is>
          <t>Educação</t>
        </is>
      </c>
      <c r="C40" s="45" t="n"/>
      <c r="D40" s="70" t="n">
        <v>200</v>
      </c>
      <c r="E40" s="70" t="n">
        <v>457</v>
      </c>
      <c r="F40" s="70" t="n">
        <v>988</v>
      </c>
      <c r="G40" s="70" t="n">
        <v>1103</v>
      </c>
      <c r="H40" s="70" t="n">
        <v>703</v>
      </c>
      <c r="I40" s="70" t="n">
        <v>150</v>
      </c>
      <c r="J40" s="45" t="n"/>
      <c r="K40" s="45" t="n"/>
      <c r="L40" s="45" t="n"/>
      <c r="M40" s="45" t="n"/>
      <c r="N40" s="45" t="n"/>
      <c r="O40" s="53">
        <f>SUM(C40:N40)</f>
        <v/>
      </c>
    </row>
    <row r="41" ht="15.75" customHeight="1">
      <c r="A41" s="15" t="inlineStr">
        <is>
          <t>Afya</t>
        </is>
      </c>
      <c r="B41" s="17" t="inlineStr">
        <is>
          <t>Educação Médica</t>
        </is>
      </c>
      <c r="C41" s="41" t="n"/>
      <c r="D41" s="70" t="n">
        <v>132.1</v>
      </c>
      <c r="E41" s="70" t="n">
        <v>132</v>
      </c>
      <c r="F41" s="70" t="n">
        <v>630</v>
      </c>
      <c r="G41" s="70" t="n">
        <v>134</v>
      </c>
      <c r="H41" s="70" t="n">
        <v>996</v>
      </c>
      <c r="I41" s="41" t="n"/>
      <c r="J41" s="41" t="n"/>
      <c r="K41" s="41" t="n"/>
      <c r="L41" s="41" t="n"/>
      <c r="M41" s="41" t="n"/>
      <c r="N41" s="41" t="n"/>
      <c r="O41" s="52">
        <f>SUM(C41:N41)</f>
        <v/>
      </c>
    </row>
    <row r="42" ht="15.75" customHeight="1">
      <c r="A42" s="26" t="inlineStr">
        <is>
          <t>Cruzeiro do Sul</t>
        </is>
      </c>
      <c r="B42" s="28" t="inlineStr">
        <is>
          <t>Educação</t>
        </is>
      </c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53">
        <f>SUM(C42:N42)</f>
        <v/>
      </c>
    </row>
    <row r="43" ht="15.75" customHeight="1">
      <c r="A43" s="15" t="inlineStr">
        <is>
          <t>Cogna</t>
        </is>
      </c>
      <c r="B43" s="17" t="inlineStr">
        <is>
          <t>Educação</t>
        </is>
      </c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52">
        <f>SUM(C43:N43)</f>
        <v/>
      </c>
    </row>
    <row r="44" ht="15.75" customHeight="1">
      <c r="A44" s="26" t="inlineStr">
        <is>
          <t>Vitru</t>
        </is>
      </c>
      <c r="B44" s="28" t="inlineStr">
        <is>
          <t>Educação</t>
        </is>
      </c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53">
        <f>SUM(C44:N44)</f>
        <v/>
      </c>
    </row>
    <row r="45" ht="15.75" customHeight="1">
      <c r="A45" s="15" t="inlineStr">
        <is>
          <t>Ser Educacional</t>
        </is>
      </c>
      <c r="B45" s="17" t="inlineStr">
        <is>
          <t>Educação</t>
        </is>
      </c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52">
        <f>SUM(C45:N45)</f>
        <v/>
      </c>
    </row>
    <row r="46" ht="15.75" customHeight="1">
      <c r="A46" s="26" t="inlineStr">
        <is>
          <t>Salta Educação</t>
        </is>
      </c>
      <c r="B46" s="28" t="inlineStr">
        <is>
          <t>Educação</t>
        </is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53">
        <f>SUM(C46:N46)</f>
        <v/>
      </c>
    </row>
    <row r="47" ht="15.75" customHeight="1">
      <c r="A47" s="15" t="inlineStr">
        <is>
          <t>Inspira</t>
        </is>
      </c>
      <c r="B47" s="17" t="inlineStr">
        <is>
          <t>Educação</t>
        </is>
      </c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52">
        <f>SUM(C47:N47)</f>
        <v/>
      </c>
    </row>
    <row r="48" ht="15.75" customHeight="1">
      <c r="A48" s="26" t="inlineStr">
        <is>
          <t>Smartfit</t>
        </is>
      </c>
      <c r="B48" s="28" t="inlineStr">
        <is>
          <t>Fitness / Saúde</t>
        </is>
      </c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53">
        <f>SUM(C48:N48)</f>
        <v/>
      </c>
    </row>
    <row r="49" ht="18" customHeight="1">
      <c r="A49" s="10" t="inlineStr">
        <is>
          <t>TOTAL GERAL</t>
        </is>
      </c>
      <c r="C49" s="37">
        <f>SUM(C3:C48)</f>
        <v/>
      </c>
      <c r="D49" s="37">
        <f>SUM(D3:D48)</f>
        <v/>
      </c>
      <c r="E49" s="37">
        <f>SUM(E3:E48)</f>
        <v/>
      </c>
      <c r="F49" s="37">
        <f>SUM(F3:F48)</f>
        <v/>
      </c>
      <c r="G49" s="37">
        <f>SUM(G3:G48)</f>
        <v/>
      </c>
      <c r="H49" s="37">
        <f>SUM(H3:H48)</f>
        <v/>
      </c>
      <c r="I49" s="37">
        <f>SUM(I3:I48)</f>
        <v/>
      </c>
      <c r="J49" s="37">
        <f>SUM(J3:J48)</f>
        <v/>
      </c>
      <c r="K49" s="37">
        <f>SUM(K3:K48)</f>
        <v/>
      </c>
      <c r="L49" s="37">
        <f>SUM(L3:L48)</f>
        <v/>
      </c>
      <c r="M49" s="37">
        <f>SUM(M3:M48)</f>
        <v/>
      </c>
      <c r="N49" s="37">
        <f>SUM(N3:N48)</f>
        <v/>
      </c>
      <c r="O49" s="37">
        <f>SUM(O3:O48)</f>
        <v/>
      </c>
    </row>
    <row r="51" ht="15" customHeight="1">
      <c r="A51" s="11" t="inlineStr">
        <is>
          <t>ℹ  Preencher com os saldos devedores por ano de vencimento extraídos da aba 'Cronograma de Amortização'. Considerar apenas amortizações de principal.</t>
        </is>
      </c>
    </row>
  </sheetData>
  <mergeCells count="3">
    <mergeCell ref="A51:P51"/>
    <mergeCell ref="A1:P1"/>
    <mergeCell ref="A49:B4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K48"/>
  <sheetViews>
    <sheetView showGridLines="0" zoomScaleNormal="100" workbookViewId="0">
      <selection activeCell="A1" sqref="A1:K1"/>
    </sheetView>
  </sheetViews>
  <sheetFormatPr baseColWidth="10" defaultColWidth="8.6640625" defaultRowHeight="15"/>
  <cols>
    <col width="22" customWidth="1" min="1" max="1"/>
    <col width="18" customWidth="1" min="2" max="2"/>
    <col width="22" customWidth="1" min="3" max="3"/>
    <col width="14" customWidth="1" min="4" max="4"/>
    <col width="20" customWidth="1" min="5" max="5"/>
    <col width="14" customWidth="1" min="6" max="6"/>
    <col width="18" customWidth="1" min="7" max="8"/>
    <col width="24" customWidth="1" min="9" max="9"/>
    <col width="16" customWidth="1" min="10" max="10"/>
    <col width="28" customWidth="1" min="11" max="11"/>
  </cols>
  <sheetData>
    <row r="1" ht="15" customHeight="1">
      <c r="A1" s="13" t="inlineStr">
        <is>
          <t>COVENANTS FINANCEIROS  |  GUIDANCE DE CAPEX  |  M&amp;A RECENTE</t>
        </is>
      </c>
    </row>
    <row r="2" ht="36" customHeight="1">
      <c r="A2" s="46" t="inlineStr">
        <is>
          <t>Empresa</t>
        </is>
      </c>
      <c r="B2" s="46" t="inlineStr">
        <is>
          <t>Setor</t>
        </is>
      </c>
      <c r="C2" s="46" t="inlineStr">
        <is>
          <t>Instrumento /
Debenturista</t>
        </is>
      </c>
      <c r="D2" s="46" t="inlineStr">
        <is>
          <t>Covenant: DL/
EBITDA — Limite</t>
        </is>
      </c>
      <c r="E2" s="46" t="inlineStr">
        <is>
          <t>Covenant:
Outro Indicador</t>
        </is>
      </c>
      <c r="F2" s="46" t="inlineStr">
        <is>
          <t>Headroom
Atual</t>
        </is>
      </c>
      <c r="G2" s="46" t="inlineStr">
        <is>
          <t>Guidance Capex
12 meses (R$ mm)</t>
        </is>
      </c>
      <c r="H2" s="46" t="inlineStr">
        <is>
          <t>Guidance Capex
24 meses (R$ mm)</t>
        </is>
      </c>
      <c r="I2" s="46" t="inlineStr">
        <is>
          <t>M&amp;A Anunciado
(Alvo / Valor)</t>
        </is>
      </c>
      <c r="J2" s="46" t="inlineStr">
        <is>
          <t>Impacto
Alavancagem</t>
        </is>
      </c>
      <c r="K2" s="46" t="inlineStr">
        <is>
          <t>Observações</t>
        </is>
      </c>
    </row>
    <row r="3" ht="16.5" customHeight="1">
      <c r="A3" s="15" t="inlineStr">
        <is>
          <t>Energisa</t>
        </is>
      </c>
      <c r="B3" s="17" t="inlineStr">
        <is>
          <t>Energia Elétrica</t>
        </is>
      </c>
      <c r="C3" s="25" t="n"/>
      <c r="D3" s="17" t="n"/>
      <c r="E3" s="25" t="n"/>
      <c r="F3" s="48" t="n"/>
      <c r="G3" s="48" t="n"/>
      <c r="H3" s="48" t="n"/>
      <c r="I3" s="25" t="n"/>
      <c r="J3" s="17" t="n"/>
      <c r="K3" s="25" t="n"/>
    </row>
    <row r="4" ht="16.5" customHeight="1">
      <c r="A4" s="26" t="inlineStr">
        <is>
          <t>Cemig</t>
        </is>
      </c>
      <c r="B4" s="28" t="inlineStr">
        <is>
          <t>Energia Elétrica</t>
        </is>
      </c>
      <c r="C4" s="36" t="n"/>
      <c r="D4" s="28" t="n"/>
      <c r="E4" s="36" t="n"/>
      <c r="F4" s="50" t="n"/>
      <c r="G4" s="50" t="n"/>
      <c r="H4" s="50" t="n"/>
      <c r="I4" s="36" t="n"/>
      <c r="J4" s="28" t="n"/>
      <c r="K4" s="36" t="n"/>
    </row>
    <row r="5" ht="16.5" customHeight="1">
      <c r="A5" s="15" t="inlineStr">
        <is>
          <t>CPFL</t>
        </is>
      </c>
      <c r="B5" s="17" t="inlineStr">
        <is>
          <t>Energia Elétrica</t>
        </is>
      </c>
      <c r="C5" s="25" t="n"/>
      <c r="D5" s="17" t="n"/>
      <c r="E5" s="25" t="n"/>
      <c r="F5" s="48" t="n"/>
      <c r="G5" s="48" t="n"/>
      <c r="H5" s="48" t="n"/>
      <c r="I5" s="25" t="n"/>
      <c r="J5" s="17" t="n"/>
      <c r="K5" s="25" t="n"/>
    </row>
    <row r="6" ht="16.5" customHeight="1">
      <c r="A6" s="26" t="inlineStr">
        <is>
          <t>Desktop</t>
        </is>
      </c>
      <c r="B6" s="28" t="inlineStr">
        <is>
          <t>Telecom / ISP</t>
        </is>
      </c>
      <c r="C6" s="36" t="n"/>
      <c r="D6" s="28" t="n"/>
      <c r="E6" s="36" t="n"/>
      <c r="F6" s="50" t="n"/>
      <c r="G6" s="50" t="n"/>
      <c r="H6" s="50" t="n"/>
      <c r="I6" s="36" t="n"/>
      <c r="J6" s="28" t="n"/>
      <c r="K6" s="36" t="n"/>
    </row>
    <row r="7" ht="16.5" customHeight="1">
      <c r="A7" s="15" t="inlineStr">
        <is>
          <t>Unifique</t>
        </is>
      </c>
      <c r="B7" s="17" t="inlineStr">
        <is>
          <t>Telecom / ISP</t>
        </is>
      </c>
      <c r="C7" s="25" t="n"/>
      <c r="D7" s="17" t="n"/>
      <c r="E7" s="25" t="n"/>
      <c r="F7" s="48" t="n"/>
      <c r="G7" s="48" t="n"/>
      <c r="H7" s="48" t="n"/>
      <c r="I7" s="25" t="n"/>
      <c r="J7" s="17" t="n"/>
      <c r="K7" s="25" t="n"/>
    </row>
    <row r="8" ht="16.5" customHeight="1">
      <c r="A8" s="26" t="inlineStr">
        <is>
          <t>Brisanet</t>
        </is>
      </c>
      <c r="B8" s="28" t="inlineStr">
        <is>
          <t>Telecom / ISP</t>
        </is>
      </c>
      <c r="C8" s="36" t="n"/>
      <c r="D8" s="28" t="n"/>
      <c r="E8" s="36" t="n"/>
      <c r="F8" s="50" t="n"/>
      <c r="G8" s="50" t="n"/>
      <c r="H8" s="50" t="n"/>
      <c r="I8" s="36" t="n"/>
      <c r="J8" s="28" t="n"/>
      <c r="K8" s="36" t="n"/>
    </row>
    <row r="9" ht="16.5" customHeight="1">
      <c r="A9" s="15" t="inlineStr">
        <is>
          <t>Vero</t>
        </is>
      </c>
      <c r="B9" s="17" t="inlineStr">
        <is>
          <t>Telecom / ISP</t>
        </is>
      </c>
      <c r="C9" s="25" t="n"/>
      <c r="D9" s="17" t="n"/>
      <c r="E9" s="25" t="n"/>
      <c r="F9" s="48" t="n"/>
      <c r="G9" s="48" t="n"/>
      <c r="H9" s="48" t="n"/>
      <c r="I9" s="25" t="n"/>
      <c r="J9" s="17" t="n"/>
      <c r="K9" s="25" t="n"/>
    </row>
    <row r="10" ht="16.5" customHeight="1">
      <c r="A10" s="26" t="inlineStr">
        <is>
          <t>Alloha</t>
        </is>
      </c>
      <c r="B10" s="28" t="inlineStr">
        <is>
          <t>Telecom / ISP</t>
        </is>
      </c>
      <c r="C10" s="36" t="n"/>
      <c r="D10" s="28" t="n"/>
      <c r="E10" s="36" t="n"/>
      <c r="F10" s="50" t="n"/>
      <c r="G10" s="50" t="n"/>
      <c r="H10" s="50" t="n"/>
      <c r="I10" s="36" t="n"/>
      <c r="J10" s="28" t="n"/>
      <c r="K10" s="36" t="n"/>
    </row>
    <row r="11" ht="16.5" customHeight="1">
      <c r="A11" s="15" t="inlineStr">
        <is>
          <t>Alares</t>
        </is>
      </c>
      <c r="B11" s="17" t="inlineStr">
        <is>
          <t>Telecom / ISP</t>
        </is>
      </c>
      <c r="C11" s="25" t="n"/>
      <c r="D11" s="17" t="n"/>
      <c r="E11" s="25" t="n"/>
      <c r="F11" s="48" t="n"/>
      <c r="G11" s="48" t="n"/>
      <c r="H11" s="48" t="n"/>
      <c r="I11" s="25" t="n"/>
      <c r="J11" s="17" t="n"/>
      <c r="K11" s="25" t="n"/>
    </row>
    <row r="12" ht="16.5" customHeight="1">
      <c r="A12" s="26" t="inlineStr">
        <is>
          <t>Tecpar / BrTecPar</t>
        </is>
      </c>
      <c r="B12" s="28" t="inlineStr">
        <is>
          <t>Telecom / ISP</t>
        </is>
      </c>
      <c r="C12" s="36" t="n"/>
      <c r="D12" s="28" t="n"/>
      <c r="E12" s="36" t="n"/>
      <c r="F12" s="50" t="n"/>
      <c r="G12" s="50" t="n"/>
      <c r="H12" s="50" t="n"/>
      <c r="I12" s="36" t="n"/>
      <c r="J12" s="28" t="n"/>
      <c r="K12" s="36" t="n"/>
    </row>
    <row r="13" ht="16.5" customHeight="1">
      <c r="A13" s="15" t="inlineStr">
        <is>
          <t>Algar</t>
        </is>
      </c>
      <c r="B13" s="17" t="inlineStr">
        <is>
          <t>Telecom / ISP</t>
        </is>
      </c>
      <c r="C13" s="25" t="n"/>
      <c r="D13" s="17" t="n"/>
      <c r="E13" s="25" t="n"/>
      <c r="F13" s="48" t="n"/>
      <c r="G13" s="48" t="n"/>
      <c r="H13" s="48" t="n"/>
      <c r="I13" s="25" t="n"/>
      <c r="J13" s="17" t="n"/>
      <c r="K13" s="25" t="n"/>
    </row>
    <row r="14" ht="16.5" customHeight="1">
      <c r="A14" s="26" t="inlineStr">
        <is>
          <t>TIM</t>
        </is>
      </c>
      <c r="B14" s="28" t="inlineStr">
        <is>
          <t>Telecom</t>
        </is>
      </c>
      <c r="C14" s="36" t="n"/>
      <c r="D14" s="28" t="n"/>
      <c r="E14" s="36" t="n"/>
      <c r="F14" s="50" t="n"/>
      <c r="G14" s="50" t="n"/>
      <c r="H14" s="50" t="n"/>
      <c r="I14" s="36" t="n"/>
      <c r="J14" s="28" t="n"/>
      <c r="K14" s="36" t="n"/>
    </row>
    <row r="15" ht="16.5" customHeight="1">
      <c r="A15" s="15" t="inlineStr">
        <is>
          <t>Vamos</t>
        </is>
      </c>
      <c r="B15" s="17" t="inlineStr">
        <is>
          <t>Locação / Transporte</t>
        </is>
      </c>
      <c r="C15" s="25" t="n"/>
      <c r="D15" s="17" t="n"/>
      <c r="E15" s="25" t="n"/>
      <c r="F15" s="48" t="n"/>
      <c r="G15" s="48" t="n"/>
      <c r="H15" s="48" t="n"/>
      <c r="I15" s="25" t="n"/>
      <c r="J15" s="17" t="n"/>
      <c r="K15" s="25" t="n"/>
    </row>
    <row r="16" ht="16.5" customHeight="1">
      <c r="A16" s="26" t="inlineStr">
        <is>
          <t>Movida</t>
        </is>
      </c>
      <c r="B16" s="28" t="inlineStr">
        <is>
          <t>Locação / Transporte</t>
        </is>
      </c>
      <c r="C16" s="36" t="n"/>
      <c r="D16" s="28" t="n"/>
      <c r="E16" s="36" t="n"/>
      <c r="F16" s="50" t="n"/>
      <c r="G16" s="50" t="n"/>
      <c r="H16" s="50" t="n"/>
      <c r="I16" s="36" t="n"/>
      <c r="J16" s="28" t="n"/>
      <c r="K16" s="36" t="n"/>
    </row>
    <row r="17" ht="16.5" customHeight="1">
      <c r="A17" s="15" t="inlineStr">
        <is>
          <t>JSL</t>
        </is>
      </c>
      <c r="B17" s="17" t="inlineStr">
        <is>
          <t>Logística</t>
        </is>
      </c>
      <c r="C17" s="25" t="n"/>
      <c r="D17" s="17" t="n"/>
      <c r="E17" s="25" t="n"/>
      <c r="F17" s="48" t="n"/>
      <c r="G17" s="48" t="n"/>
      <c r="H17" s="48" t="n"/>
      <c r="I17" s="25" t="n"/>
      <c r="J17" s="17" t="n"/>
      <c r="K17" s="25" t="n"/>
    </row>
    <row r="18" ht="16.5" customHeight="1">
      <c r="A18" s="26" t="inlineStr">
        <is>
          <t>Ecorodovias</t>
        </is>
      </c>
      <c r="B18" s="28" t="inlineStr">
        <is>
          <t>Infraestrutura / Rodov.</t>
        </is>
      </c>
      <c r="C18" s="36" t="n"/>
      <c r="D18" s="28" t="n"/>
      <c r="E18" s="36" t="n"/>
      <c r="F18" s="50" t="n"/>
      <c r="G18" s="50" t="n"/>
      <c r="H18" s="50" t="n"/>
      <c r="I18" s="36" t="n"/>
      <c r="J18" s="28" t="n"/>
      <c r="K18" s="36" t="n"/>
    </row>
    <row r="19" ht="16.5" customHeight="1">
      <c r="A19" s="15" t="inlineStr">
        <is>
          <t>Santos Brasil</t>
        </is>
      </c>
      <c r="B19" s="17" t="inlineStr">
        <is>
          <t>Porto / Logística</t>
        </is>
      </c>
      <c r="C19" s="25" t="n"/>
      <c r="D19" s="17" t="n"/>
      <c r="E19" s="25" t="n"/>
      <c r="F19" s="48" t="n"/>
      <c r="G19" s="48" t="n"/>
      <c r="H19" s="48" t="n"/>
      <c r="I19" s="25" t="n"/>
      <c r="J19" s="17" t="n"/>
      <c r="K19" s="25" t="n"/>
    </row>
    <row r="20" ht="16.5" customHeight="1">
      <c r="A20" s="26" t="inlineStr">
        <is>
          <t>Copasa</t>
        </is>
      </c>
      <c r="B20" s="28" t="inlineStr">
        <is>
          <t>Saneamento</t>
        </is>
      </c>
      <c r="C20" s="36" t="n"/>
      <c r="D20" s="28" t="n"/>
      <c r="E20" s="36" t="n"/>
      <c r="F20" s="50" t="n"/>
      <c r="G20" s="50" t="n"/>
      <c r="H20" s="50" t="n"/>
      <c r="I20" s="36" t="n"/>
      <c r="J20" s="28" t="n"/>
      <c r="K20" s="36" t="n"/>
    </row>
    <row r="21" ht="16.5" customHeight="1">
      <c r="A21" s="15" t="inlineStr">
        <is>
          <t>Sanepar</t>
        </is>
      </c>
      <c r="B21" s="17" t="inlineStr">
        <is>
          <t>Saneamento</t>
        </is>
      </c>
      <c r="C21" s="25" t="n"/>
      <c r="D21" s="17" t="n"/>
      <c r="E21" s="25" t="n"/>
      <c r="F21" s="48" t="n"/>
      <c r="G21" s="48" t="n"/>
      <c r="H21" s="48" t="n"/>
      <c r="I21" s="25" t="n"/>
      <c r="J21" s="17" t="n"/>
      <c r="K21" s="25" t="n"/>
    </row>
    <row r="22" ht="16.5" customHeight="1">
      <c r="A22" s="26" t="inlineStr">
        <is>
          <t>Saneago</t>
        </is>
      </c>
      <c r="B22" s="28" t="inlineStr">
        <is>
          <t>Saneamento</t>
        </is>
      </c>
      <c r="C22" s="36" t="n"/>
      <c r="D22" s="28" t="n"/>
      <c r="E22" s="36" t="n"/>
      <c r="F22" s="50" t="n"/>
      <c r="G22" s="50" t="n"/>
      <c r="H22" s="50" t="n"/>
      <c r="I22" s="36" t="n"/>
      <c r="J22" s="28" t="n"/>
      <c r="K22" s="36" t="n"/>
    </row>
    <row r="23" ht="16.5" customHeight="1">
      <c r="A23" s="15" t="inlineStr">
        <is>
          <t>Vix</t>
        </is>
      </c>
      <c r="B23" s="17" t="inlineStr">
        <is>
          <t>Logística / Transporte</t>
        </is>
      </c>
      <c r="C23" s="25" t="n"/>
      <c r="D23" s="17" t="n"/>
      <c r="E23" s="25" t="n"/>
      <c r="F23" s="48" t="n"/>
      <c r="G23" s="48" t="n"/>
      <c r="H23" s="48" t="n"/>
      <c r="I23" s="25" t="n"/>
      <c r="J23" s="17" t="n"/>
      <c r="K23" s="25" t="n"/>
    </row>
    <row r="24" ht="16.5" customHeight="1">
      <c r="A24" s="26" t="inlineStr">
        <is>
          <t>Armac</t>
        </is>
      </c>
      <c r="B24" s="28" t="inlineStr">
        <is>
          <t>Locação</t>
        </is>
      </c>
      <c r="C24" s="36" t="n"/>
      <c r="D24" s="28" t="n"/>
      <c r="E24" s="36" t="n"/>
      <c r="F24" s="50" t="n"/>
      <c r="G24" s="50" t="n"/>
      <c r="H24" s="50" t="n"/>
      <c r="I24" s="36" t="n"/>
      <c r="J24" s="28" t="n"/>
      <c r="K24" s="36" t="n"/>
    </row>
    <row r="25" ht="16.5" customHeight="1">
      <c r="A25" s="15" t="inlineStr">
        <is>
          <t>Unidas</t>
        </is>
      </c>
      <c r="B25" s="17" t="inlineStr">
        <is>
          <t>Locação</t>
        </is>
      </c>
      <c r="C25" s="25" t="n"/>
      <c r="D25" s="17" t="n"/>
      <c r="E25" s="25" t="n"/>
      <c r="F25" s="48" t="n"/>
      <c r="G25" s="48" t="n"/>
      <c r="H25" s="48" t="n"/>
      <c r="I25" s="25" t="n"/>
      <c r="J25" s="17" t="n"/>
      <c r="K25" s="25" t="n"/>
    </row>
    <row r="26" ht="16.5" customHeight="1">
      <c r="A26" s="26" t="inlineStr">
        <is>
          <t>Mills</t>
        </is>
      </c>
      <c r="B26" s="28" t="inlineStr">
        <is>
          <t>Locação / Indústria</t>
        </is>
      </c>
      <c r="C26" s="36" t="n"/>
      <c r="D26" s="28" t="n"/>
      <c r="E26" s="36" t="n"/>
      <c r="F26" s="50" t="n"/>
      <c r="G26" s="50" t="n"/>
      <c r="H26" s="50" t="n"/>
      <c r="I26" s="36" t="n"/>
      <c r="J26" s="28" t="n"/>
      <c r="K26" s="36" t="n"/>
    </row>
    <row r="27" ht="16.5" customHeight="1">
      <c r="A27" s="15" t="inlineStr">
        <is>
          <t>Priner</t>
        </is>
      </c>
      <c r="B27" s="17" t="inlineStr">
        <is>
          <t>Serviços Industriais</t>
        </is>
      </c>
      <c r="C27" s="25" t="n"/>
      <c r="D27" s="17" t="n"/>
      <c r="E27" s="25" t="n"/>
      <c r="F27" s="48" t="n"/>
      <c r="G27" s="48" t="n"/>
      <c r="H27" s="48" t="n"/>
      <c r="I27" s="25" t="n"/>
      <c r="J27" s="17" t="n"/>
      <c r="K27" s="25" t="n"/>
    </row>
    <row r="28" ht="16.5" customHeight="1">
      <c r="A28" s="26" t="inlineStr">
        <is>
          <t>Aura Minerals</t>
        </is>
      </c>
      <c r="B28" s="28" t="inlineStr">
        <is>
          <t>Mineração</t>
        </is>
      </c>
      <c r="C28" s="36" t="n"/>
      <c r="D28" s="28" t="n"/>
      <c r="E28" s="36" t="n"/>
      <c r="F28" s="50" t="n"/>
      <c r="G28" s="50" t="n"/>
      <c r="H28" s="50" t="n"/>
      <c r="I28" s="36" t="n"/>
      <c r="J28" s="28" t="n"/>
      <c r="K28" s="36" t="n"/>
    </row>
    <row r="29" ht="16.5" customHeight="1">
      <c r="A29" s="15" t="inlineStr">
        <is>
          <t>Vale</t>
        </is>
      </c>
      <c r="B29" s="17" t="inlineStr">
        <is>
          <t>Mineração</t>
        </is>
      </c>
      <c r="C29" s="25" t="n"/>
      <c r="D29" s="17" t="n"/>
      <c r="E29" s="25" t="n"/>
      <c r="F29" s="48" t="n"/>
      <c r="G29" s="48" t="n"/>
      <c r="H29" s="48" t="n"/>
      <c r="I29" s="25" t="n"/>
      <c r="J29" s="17" t="n"/>
      <c r="K29" s="25" t="n"/>
    </row>
    <row r="30" ht="16.5" customHeight="1">
      <c r="A30" s="26" t="inlineStr">
        <is>
          <t>Rede D'Or</t>
        </is>
      </c>
      <c r="B30" s="28" t="inlineStr">
        <is>
          <t>Saúde</t>
        </is>
      </c>
      <c r="C30" s="36" t="n"/>
      <c r="D30" s="28" t="n"/>
      <c r="E30" s="36" t="n"/>
      <c r="F30" s="50" t="n"/>
      <c r="G30" s="50" t="n"/>
      <c r="H30" s="50" t="n"/>
      <c r="I30" s="36" t="n"/>
      <c r="J30" s="28" t="n"/>
      <c r="K30" s="36" t="n"/>
    </row>
    <row r="31" ht="16.5" customHeight="1">
      <c r="A31" s="15" t="inlineStr">
        <is>
          <t>GSH</t>
        </is>
      </c>
      <c r="B31" s="17" t="inlineStr">
        <is>
          <t>Saúde</t>
        </is>
      </c>
      <c r="C31" s="25" t="n"/>
      <c r="D31" s="17" t="n"/>
      <c r="E31" s="25" t="n"/>
      <c r="F31" s="48" t="n"/>
      <c r="G31" s="48" t="n"/>
      <c r="H31" s="48" t="n"/>
      <c r="I31" s="25" t="n"/>
      <c r="J31" s="17" t="n"/>
      <c r="K31" s="25" t="n"/>
    </row>
    <row r="32" ht="16.5" customHeight="1">
      <c r="A32" s="26" t="inlineStr">
        <is>
          <t>Hapvida</t>
        </is>
      </c>
      <c r="B32" s="28" t="inlineStr">
        <is>
          <t>Saúde</t>
        </is>
      </c>
      <c r="C32" s="36" t="n"/>
      <c r="D32" s="28" t="n"/>
      <c r="E32" s="36" t="n"/>
      <c r="F32" s="50" t="n"/>
      <c r="G32" s="50" t="n"/>
      <c r="H32" s="50" t="n"/>
      <c r="I32" s="36" t="n"/>
      <c r="J32" s="28" t="n"/>
      <c r="K32" s="36" t="n"/>
    </row>
    <row r="33" ht="16.5" customHeight="1">
      <c r="A33" s="15" t="inlineStr">
        <is>
          <t>Klabin</t>
        </is>
      </c>
      <c r="B33" s="17" t="inlineStr">
        <is>
          <t>Papel e Celulose</t>
        </is>
      </c>
      <c r="C33" s="25" t="n"/>
      <c r="D33" s="17" t="n"/>
      <c r="E33" s="25" t="n"/>
      <c r="F33" s="48" t="n"/>
      <c r="G33" s="48" t="n"/>
      <c r="H33" s="48" t="n"/>
      <c r="I33" s="25" t="n"/>
      <c r="J33" s="17" t="n"/>
      <c r="K33" s="25" t="n"/>
    </row>
    <row r="34" ht="16.5" customHeight="1">
      <c r="A34" s="26" t="inlineStr">
        <is>
          <t>Unipar</t>
        </is>
      </c>
      <c r="B34" s="28" t="inlineStr">
        <is>
          <t>Química / Petroquímica</t>
        </is>
      </c>
      <c r="C34" s="36" t="n"/>
      <c r="D34" s="28" t="n"/>
      <c r="E34" s="36" t="n"/>
      <c r="F34" s="50" t="n"/>
      <c r="G34" s="50" t="n"/>
      <c r="H34" s="50" t="n"/>
      <c r="I34" s="36" t="n"/>
      <c r="J34" s="28" t="n"/>
      <c r="K34" s="36" t="n"/>
    </row>
    <row r="35" ht="16.5" customHeight="1">
      <c r="A35" s="15" t="inlineStr">
        <is>
          <t>São Martinho</t>
        </is>
      </c>
      <c r="B35" s="17" t="inlineStr">
        <is>
          <t>Açúcar e Etanol</t>
        </is>
      </c>
      <c r="C35" s="25" t="n"/>
      <c r="D35" s="17" t="n"/>
      <c r="E35" s="25" t="n"/>
      <c r="F35" s="48" t="n"/>
      <c r="G35" s="48" t="n"/>
      <c r="H35" s="48" t="n"/>
      <c r="I35" s="25" t="n"/>
      <c r="J35" s="17" t="n"/>
      <c r="K35" s="25" t="n"/>
    </row>
    <row r="36" ht="16.5" customHeight="1">
      <c r="A36" s="26" t="inlineStr">
        <is>
          <t>Adecoagro</t>
        </is>
      </c>
      <c r="B36" s="28" t="inlineStr">
        <is>
          <t>Agronegócio</t>
        </is>
      </c>
      <c r="C36" s="36" t="n"/>
      <c r="D36" s="28" t="n"/>
      <c r="E36" s="36" t="n"/>
      <c r="F36" s="50" t="n"/>
      <c r="G36" s="50" t="n"/>
      <c r="H36" s="50" t="n"/>
      <c r="I36" s="36" t="n"/>
      <c r="J36" s="28" t="n"/>
      <c r="K36" s="36" t="n"/>
    </row>
    <row r="37" ht="16.5" customHeight="1">
      <c r="A37" s="15" t="inlineStr">
        <is>
          <t>BRF</t>
        </is>
      </c>
      <c r="B37" s="17" t="inlineStr">
        <is>
          <t>Alimentos</t>
        </is>
      </c>
      <c r="C37" s="25" t="n"/>
      <c r="D37" s="17" t="n"/>
      <c r="E37" s="25" t="n"/>
      <c r="F37" s="48" t="n"/>
      <c r="G37" s="48" t="n"/>
      <c r="H37" s="48" t="n"/>
      <c r="I37" s="25" t="n"/>
      <c r="J37" s="17" t="n"/>
      <c r="K37" s="25" t="n"/>
    </row>
    <row r="38" ht="16.5" customHeight="1">
      <c r="A38" s="26" t="inlineStr">
        <is>
          <t>Ânima</t>
        </is>
      </c>
      <c r="B38" s="28" t="inlineStr">
        <is>
          <t>Educação</t>
        </is>
      </c>
      <c r="C38" s="71" t="inlineStr">
        <is>
          <t>Debs 4ª-8ª (Ânima); Debs 2ª (Inspirali); BB Capital de Giro; IFC</t>
        </is>
      </c>
      <c r="D38" s="71" t="inlineStr">
        <is>
          <t>≤ 3,0x (Debs Ânima); ≤ 3,5x (Inspirali, BB-Rede)</t>
        </is>
      </c>
      <c r="E38" s="71" t="inlineStr">
        <is>
          <t>EBITDA Ajustado Pf / Desp.Fin. ≥ 1,3; IFC: Caixa/Div.CP ≥ 1,20</t>
        </is>
      </c>
      <c r="F38" s="75" t="inlineStr">
        <is>
          <t>DL/EBITDA ex-IFRS16 LTM = 2,39x vs limite 3,0x → headroom 0,61x</t>
        </is>
      </c>
      <c r="G38" s="50" t="n"/>
      <c r="H38" s="50" t="n"/>
      <c r="I38" s="71" t="inlineStr">
        <is>
          <t>FASEH 94,42% (R$45,3mm) — concluído fev/2026</t>
        </is>
      </c>
      <c r="J38" s="71" t="inlineStr">
        <is>
          <t>Marginal — deal pequeno e já liquidado</t>
        </is>
      </c>
      <c r="K38" s="71" t="inlineStr">
        <is>
          <t>Sem descumprimento de covenants em 31/03/2026 (Nota 12 DF 1T26)</t>
        </is>
      </c>
    </row>
    <row r="39" ht="16.5" customHeight="1">
      <c r="A39" s="15" t="inlineStr">
        <is>
          <t>Inspiralli</t>
        </is>
      </c>
      <c r="B39" s="17" t="inlineStr">
        <is>
          <t>Educação</t>
        </is>
      </c>
      <c r="C39" s="25" t="n"/>
      <c r="D39" s="17" t="n"/>
      <c r="E39" s="25" t="n"/>
      <c r="F39" s="48" t="n"/>
      <c r="G39" s="48" t="n"/>
      <c r="H39" s="48" t="n"/>
      <c r="I39" s="25" t="n"/>
      <c r="J39" s="17" t="n"/>
      <c r="K39" s="25" t="n"/>
    </row>
    <row r="40" ht="16.5" customHeight="1">
      <c r="A40" s="26" t="inlineStr">
        <is>
          <t>Yduqs</t>
        </is>
      </c>
      <c r="B40" s="28" t="inlineStr">
        <is>
          <t>Educação</t>
        </is>
      </c>
      <c r="C40" s="71" t="inlineStr">
        <is>
          <t>Debêntures VII-XII; CCB Itaú</t>
        </is>
      </c>
      <c r="D40" s="71" t="inlineStr">
        <is>
          <t>Não disponível sem Notas Explicativas — DL/EBITDA ajustado LTM = 1,53x</t>
        </is>
      </c>
      <c r="E40" s="71" t="inlineStr">
        <is>
          <t>Não disponível sem Notas Explicativas</t>
        </is>
      </c>
      <c r="F40" s="75" t="inlineStr">
        <is>
          <t>DL/EBITDA Ajustado (ex-IFRS16) LTM = 1,53x — leverage muito baixa</t>
        </is>
      </c>
      <c r="G40" s="50" t="n"/>
      <c r="H40" s="50" t="n"/>
      <c r="I40" s="71" t="inlineStr">
        <is>
          <t>Unifametro (medicina, IDOMED) — adquirida 1T26; pagamento parcial R$75,5mm</t>
        </is>
      </c>
      <c r="J40" s="71" t="inlineStr">
        <is>
          <t>Marginal — leverage aumentou de 1,59x para 1,53x (redução no período)</t>
        </is>
      </c>
      <c r="K40" s="71" t="inlineStr">
        <is>
          <t>FCA guidance 2026: R$520-620mm. Custo médio dívida: CDI+0,99%. Sem info covenant nos documentos disponíveis.</t>
        </is>
      </c>
    </row>
    <row r="41" ht="16.5" customHeight="1">
      <c r="A41" s="15" t="inlineStr">
        <is>
          <t>Afya</t>
        </is>
      </c>
      <c r="B41" s="17" t="inlineStr">
        <is>
          <t>Educação Médica</t>
        </is>
      </c>
      <c r="C41" s="74" t="inlineStr">
        <is>
          <t>Notas Comerciais 1ª e 2ª Série; IFC; Contas a pagar a vendedores</t>
        </is>
      </c>
      <c r="D41" s="74" t="inlineStr">
        <is>
          <t>Net Debt / Adjusted EBITDA ≤ 3,0x (excl. IFRS16, Notas Comerciais)</t>
        </is>
      </c>
      <c r="E41" s="74" t="inlineStr">
        <is>
          <t>Conforme Commercial Notes (press release 4T25, pg.2)</t>
        </is>
      </c>
      <c r="F41" s="76" t="inlineStr">
        <is>
          <t>DL/EBITDA Ajustado mid-guidance 2026 = 0,7x vs limite 3,0x → headroom 2,3x</t>
        </is>
      </c>
      <c r="G41" s="76" t="n">
        <v>360</v>
      </c>
      <c r="H41" s="48" t="n"/>
      <c r="I41" s="74" t="inlineStr">
        <is>
          <t>FUNIC (60 vagas medicina, dez/2025, licença R$99,6mm); 63 vagas MEC Abaetetuba fev/2026</t>
        </is>
      </c>
      <c r="J41" s="74" t="inlineStr">
        <is>
          <t>Impacto marginal — alavancagem reduzindo de 0,8x para 0,7x</t>
        </is>
      </c>
      <c r="K41" s="74" t="inlineStr">
        <is>
          <t>Rating: AAA.br (Moody's, mai/2026). DL/EBITDA ex-IFRS16 1Q26 = 0,7x. FY2025 compliant.</t>
        </is>
      </c>
    </row>
    <row r="42" ht="16.5" customHeight="1">
      <c r="A42" s="26" t="inlineStr">
        <is>
          <t>Cruzeiro do Sul</t>
        </is>
      </c>
      <c r="B42" s="28" t="inlineStr">
        <is>
          <t>Educação</t>
        </is>
      </c>
      <c r="C42" s="36" t="n"/>
      <c r="D42" s="28" t="n"/>
      <c r="E42" s="36" t="n"/>
      <c r="F42" s="50" t="n"/>
      <c r="G42" s="50" t="n"/>
      <c r="H42" s="50" t="n"/>
      <c r="I42" s="36" t="n"/>
      <c r="J42" s="28" t="n"/>
      <c r="K42" s="36" t="n"/>
    </row>
    <row r="43" ht="16.5" customHeight="1">
      <c r="A43" s="15" t="inlineStr">
        <is>
          <t>Cogna</t>
        </is>
      </c>
      <c r="B43" s="17" t="inlineStr">
        <is>
          <t>Educação</t>
        </is>
      </c>
      <c r="C43" s="25" t="n"/>
      <c r="D43" s="17" t="n"/>
      <c r="E43" s="25" t="n"/>
      <c r="F43" s="48" t="n"/>
      <c r="G43" s="48" t="n"/>
      <c r="H43" s="48" t="n"/>
      <c r="I43" s="25" t="n"/>
      <c r="J43" s="17" t="n"/>
      <c r="K43" s="25" t="n"/>
    </row>
    <row r="44" ht="16.5" customHeight="1">
      <c r="A44" s="26" t="inlineStr">
        <is>
          <t>Vitru</t>
        </is>
      </c>
      <c r="B44" s="28" t="inlineStr">
        <is>
          <t>Educação</t>
        </is>
      </c>
      <c r="C44" s="36" t="n"/>
      <c r="D44" s="28" t="n"/>
      <c r="E44" s="36" t="n"/>
      <c r="F44" s="50" t="n"/>
      <c r="G44" s="50" t="n"/>
      <c r="H44" s="50" t="n"/>
      <c r="I44" s="36" t="n"/>
      <c r="J44" s="28" t="n"/>
      <c r="K44" s="36" t="n"/>
    </row>
    <row r="45" ht="16.5" customHeight="1">
      <c r="A45" s="15" t="inlineStr">
        <is>
          <t>Ser Educacional</t>
        </is>
      </c>
      <c r="B45" s="17" t="inlineStr">
        <is>
          <t>Educação</t>
        </is>
      </c>
      <c r="C45" s="25" t="n"/>
      <c r="D45" s="17" t="n"/>
      <c r="E45" s="25" t="n"/>
      <c r="F45" s="48" t="n"/>
      <c r="G45" s="48" t="n"/>
      <c r="H45" s="48" t="n"/>
      <c r="I45" s="25" t="n"/>
      <c r="J45" s="17" t="n"/>
      <c r="K45" s="25" t="n"/>
    </row>
    <row r="46" ht="16.5" customHeight="1">
      <c r="A46" s="26" t="inlineStr">
        <is>
          <t>Salta Educação</t>
        </is>
      </c>
      <c r="B46" s="28" t="inlineStr">
        <is>
          <t>Educação</t>
        </is>
      </c>
      <c r="C46" s="36" t="n"/>
      <c r="D46" s="28" t="n"/>
      <c r="E46" s="36" t="n"/>
      <c r="F46" s="50" t="n"/>
      <c r="G46" s="50" t="n"/>
      <c r="H46" s="50" t="n"/>
      <c r="I46" s="36" t="n"/>
      <c r="J46" s="28" t="n"/>
      <c r="K46" s="36" t="n"/>
    </row>
    <row r="47" ht="16.5" customHeight="1">
      <c r="A47" s="15" t="inlineStr">
        <is>
          <t>Inspira</t>
        </is>
      </c>
      <c r="B47" s="17" t="inlineStr">
        <is>
          <t>Educação</t>
        </is>
      </c>
      <c r="C47" s="25" t="n"/>
      <c r="D47" s="17" t="n"/>
      <c r="E47" s="25" t="n"/>
      <c r="F47" s="48" t="n"/>
      <c r="G47" s="48" t="n"/>
      <c r="H47" s="48" t="n"/>
      <c r="I47" s="25" t="n"/>
      <c r="J47" s="17" t="n"/>
      <c r="K47" s="25" t="n"/>
    </row>
    <row r="48" ht="16.5" customHeight="1">
      <c r="A48" s="26" t="inlineStr">
        <is>
          <t>Smartfit</t>
        </is>
      </c>
      <c r="B48" s="28" t="inlineStr">
        <is>
          <t>Fitness / Saúde</t>
        </is>
      </c>
      <c r="C48" s="36" t="n"/>
      <c r="D48" s="28" t="n"/>
      <c r="E48" s="36" t="n"/>
      <c r="F48" s="50" t="n"/>
      <c r="G48" s="50" t="n"/>
      <c r="H48" s="50" t="n"/>
      <c r="I48" s="36" t="n"/>
      <c r="J48" s="28" t="n"/>
      <c r="K48" s="36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E72"/>
  <sheetViews>
    <sheetView showGridLines="0" topLeftCell="A31" zoomScaleNormal="100" workbookViewId="0">
      <selection activeCell="D60" sqref="D60"/>
    </sheetView>
  </sheetViews>
  <sheetFormatPr baseColWidth="10" defaultColWidth="8.6640625" defaultRowHeight="15"/>
  <cols>
    <col width="22" customWidth="1" min="1" max="1"/>
    <col width="10" customWidth="1" min="2" max="2"/>
    <col width="22" customWidth="1" min="3" max="3"/>
    <col width="52" customWidth="1" min="4" max="4"/>
    <col width="28" customWidth="1" min="5" max="5"/>
  </cols>
  <sheetData>
    <row r="1" ht="15" customHeight="1">
      <c r="A1" s="13" t="inlineStr">
        <is>
          <t>FONTES  |  SITES DE RELAÇÕES COM INVESTIDORES</t>
        </is>
      </c>
    </row>
    <row r="2" ht="19.5" customHeight="1">
      <c r="A2" s="11" t="inlineStr">
        <is>
          <t>Links para os portais de RI das empresas em cobertura. Verificar release do último trimestre e/ou apresentação de resultados para preenchimento das abas.</t>
        </is>
      </c>
    </row>
    <row r="3" ht="24" customHeight="1">
      <c r="A3" s="46" t="inlineStr">
        <is>
          <t>Empresa</t>
        </is>
      </c>
      <c r="B3" s="46" t="inlineStr">
        <is>
          <t>Ticker</t>
        </is>
      </c>
      <c r="C3" s="46" t="inlineStr">
        <is>
          <t>Setor</t>
        </is>
      </c>
      <c r="D3" s="46" t="inlineStr">
        <is>
          <t>Link Portal RI</t>
        </is>
      </c>
      <c r="E3" s="46" t="inlineStr">
        <is>
          <t>Última Atualização / Nota</t>
        </is>
      </c>
    </row>
    <row r="4" ht="15.75" customHeight="1">
      <c r="A4" s="1" t="inlineStr">
        <is>
          <t>▌  ENERGIA ELÉTRICA</t>
        </is>
      </c>
    </row>
    <row r="5" ht="16.5" customHeight="1">
      <c r="A5" s="54" t="inlineStr">
        <is>
          <t>Energisa</t>
        </is>
      </c>
      <c r="B5" s="55" t="inlineStr">
        <is>
          <t>ENGI11</t>
        </is>
      </c>
      <c r="C5" s="56" t="inlineStr">
        <is>
          <t>Energia Elétrica</t>
        </is>
      </c>
      <c r="D5" s="57" t="inlineStr">
        <is>
          <t>https://www.energisa.com.br/Paginas/Informacoes/Investidores.aspx</t>
        </is>
      </c>
      <c r="E5" s="17" t="n"/>
    </row>
    <row r="6" ht="16.5" customHeight="1">
      <c r="A6" s="58" t="inlineStr">
        <is>
          <t>Cemig</t>
        </is>
      </c>
      <c r="B6" s="59" t="inlineStr">
        <is>
          <t>CMIG4</t>
        </is>
      </c>
      <c r="C6" s="60" t="inlineStr">
        <is>
          <t>Energia Elétrica</t>
        </is>
      </c>
      <c r="D6" s="61" t="inlineStr">
        <is>
          <t>https://ri.cemig.com.br/</t>
        </is>
      </c>
      <c r="E6" s="28" t="n"/>
    </row>
    <row r="7" ht="16.5" customHeight="1">
      <c r="A7" s="54" t="inlineStr">
        <is>
          <t>CPFL</t>
        </is>
      </c>
      <c r="B7" s="55" t="inlineStr">
        <is>
          <t>CPFE3</t>
        </is>
      </c>
      <c r="C7" s="56" t="inlineStr">
        <is>
          <t>Energia Elétrica</t>
        </is>
      </c>
      <c r="D7" s="57" t="inlineStr">
        <is>
          <t>https://ri.cpfl.com.br/</t>
        </is>
      </c>
      <c r="E7" s="17" t="n"/>
    </row>
    <row r="8" ht="15.75" customHeight="1">
      <c r="A8" s="1" t="inlineStr">
        <is>
          <t>▌  TELECOM / ISP</t>
        </is>
      </c>
    </row>
    <row r="9" ht="16.5" customHeight="1">
      <c r="A9" s="58" t="inlineStr">
        <is>
          <t>Desktop</t>
        </is>
      </c>
      <c r="B9" s="59" t="inlineStr">
        <is>
          <t>DESK3</t>
        </is>
      </c>
      <c r="C9" s="60" t="inlineStr">
        <is>
          <t>Telecom / ISP</t>
        </is>
      </c>
      <c r="D9" s="61" t="inlineStr">
        <is>
          <t>https://ri.desktop.com.br/</t>
        </is>
      </c>
      <c r="E9" s="28" t="n"/>
    </row>
    <row r="10" ht="16.5" customHeight="1">
      <c r="A10" s="54" t="inlineStr">
        <is>
          <t>Unifique</t>
        </is>
      </c>
      <c r="B10" s="55" t="inlineStr">
        <is>
          <t>FIQE3</t>
        </is>
      </c>
      <c r="C10" s="56" t="inlineStr">
        <is>
          <t>Telecom / ISP</t>
        </is>
      </c>
      <c r="D10" s="57" t="inlineStr">
        <is>
          <t>https://ri.unifique.com.br/</t>
        </is>
      </c>
      <c r="E10" s="17" t="n"/>
    </row>
    <row r="11" ht="16.5" customHeight="1">
      <c r="A11" s="58" t="inlineStr">
        <is>
          <t>Brisanet</t>
        </is>
      </c>
      <c r="B11" s="59" t="inlineStr">
        <is>
          <t>BRIT3</t>
        </is>
      </c>
      <c r="C11" s="60" t="inlineStr">
        <is>
          <t>Telecom / ISP</t>
        </is>
      </c>
      <c r="D11" s="61" t="inlineStr">
        <is>
          <t>https://ri.brisanet.com.br/</t>
        </is>
      </c>
      <c r="E11" s="28" t="n"/>
    </row>
    <row r="12" ht="16.5" customHeight="1">
      <c r="A12" s="54" t="inlineStr">
        <is>
          <t>Vero</t>
        </is>
      </c>
      <c r="B12" s="55" t="inlineStr">
        <is>
          <t>N/A</t>
        </is>
      </c>
      <c r="C12" s="56" t="inlineStr">
        <is>
          <t>Telecom / ISP</t>
        </is>
      </c>
      <c r="D12" s="57" t="inlineStr">
        <is>
          <t>https://www.vero.net.br/ri</t>
        </is>
      </c>
      <c r="E12" s="17" t="n"/>
    </row>
    <row r="13" ht="16.5" customHeight="1">
      <c r="A13" s="58" t="inlineStr">
        <is>
          <t>Alloha</t>
        </is>
      </c>
      <c r="B13" s="59" t="inlineStr">
        <is>
          <t>N/A</t>
        </is>
      </c>
      <c r="C13" s="60" t="inlineStr">
        <is>
          <t>Telecom / ISP</t>
        </is>
      </c>
      <c r="D13" s="61" t="inlineStr">
        <is>
          <t>https://www.allohari.com/</t>
        </is>
      </c>
      <c r="E13" s="28" t="n"/>
    </row>
    <row r="14" ht="16.5" customHeight="1">
      <c r="A14" s="54" t="inlineStr">
        <is>
          <t>Alares</t>
        </is>
      </c>
      <c r="B14" s="55" t="inlineStr">
        <is>
          <t>N/A</t>
        </is>
      </c>
      <c r="C14" s="56" t="inlineStr">
        <is>
          <t>Telecom / ISP</t>
        </is>
      </c>
      <c r="D14" s="57" t="inlineStr">
        <is>
          <t>https://ri.alaresinternet.com.br/</t>
        </is>
      </c>
      <c r="E14" s="17" t="n"/>
    </row>
    <row r="15" ht="16.5" customHeight="1">
      <c r="A15" s="58" t="inlineStr">
        <is>
          <t>Tecpar / BrTecPar</t>
        </is>
      </c>
      <c r="B15" s="59" t="inlineStr">
        <is>
          <t>N/A</t>
        </is>
      </c>
      <c r="C15" s="60" t="inlineStr">
        <is>
          <t>Telecom / ISP</t>
        </is>
      </c>
      <c r="D15" s="61" t="inlineStr">
        <is>
          <t>https://ri.brasiltecpar.com.br/</t>
        </is>
      </c>
      <c r="E15" s="28" t="n"/>
    </row>
    <row r="16" ht="16.5" customHeight="1">
      <c r="A16" s="54" t="inlineStr">
        <is>
          <t>Algar</t>
        </is>
      </c>
      <c r="B16" s="55" t="inlineStr">
        <is>
          <t>ALGT3</t>
        </is>
      </c>
      <c r="C16" s="56" t="inlineStr">
        <is>
          <t>Telecom / ISP</t>
        </is>
      </c>
      <c r="D16" s="57" t="inlineStr">
        <is>
          <t>https://ri.algar.com.br/</t>
        </is>
      </c>
      <c r="E16" s="17" t="n"/>
    </row>
    <row r="17" ht="15.75" customHeight="1">
      <c r="A17" s="1" t="inlineStr">
        <is>
          <t>▌  TELECOM</t>
        </is>
      </c>
    </row>
    <row r="18" ht="16.5" customHeight="1">
      <c r="A18" s="58" t="inlineStr">
        <is>
          <t>TIM</t>
        </is>
      </c>
      <c r="B18" s="59" t="inlineStr">
        <is>
          <t>TIMS3</t>
        </is>
      </c>
      <c r="C18" s="60" t="inlineStr">
        <is>
          <t>Telecom</t>
        </is>
      </c>
      <c r="D18" s="61" t="inlineStr">
        <is>
          <t>https://ri.tim.com.br/</t>
        </is>
      </c>
      <c r="E18" s="28" t="n"/>
    </row>
    <row r="19" ht="15.75" customHeight="1">
      <c r="A19" s="1" t="inlineStr">
        <is>
          <t>▌  LOCAÇÃO / TRANSPORTE</t>
        </is>
      </c>
    </row>
    <row r="20" ht="16.5" customHeight="1">
      <c r="A20" s="54" t="inlineStr">
        <is>
          <t>Vamos</t>
        </is>
      </c>
      <c r="B20" s="55" t="inlineStr">
        <is>
          <t>VAMO3</t>
        </is>
      </c>
      <c r="C20" s="56" t="inlineStr">
        <is>
          <t>Locação / Transporte</t>
        </is>
      </c>
      <c r="D20" s="57" t="inlineStr">
        <is>
          <t>https://ri.vamos.com.br/</t>
        </is>
      </c>
      <c r="E20" s="17" t="n"/>
    </row>
    <row r="21" ht="16.5" customHeight="1">
      <c r="A21" s="58" t="inlineStr">
        <is>
          <t>Movida</t>
        </is>
      </c>
      <c r="B21" s="59" t="inlineStr">
        <is>
          <t>MOVI3</t>
        </is>
      </c>
      <c r="C21" s="60" t="inlineStr">
        <is>
          <t>Locação / Transporte</t>
        </is>
      </c>
      <c r="D21" s="61" t="inlineStr">
        <is>
          <t>https://ri.movida.com.br/</t>
        </is>
      </c>
      <c r="E21" s="28" t="n"/>
    </row>
    <row r="22" ht="15.75" customHeight="1">
      <c r="A22" s="1" t="inlineStr">
        <is>
          <t>▌  LOGÍSTICA</t>
        </is>
      </c>
    </row>
    <row r="23" ht="16.5" customHeight="1">
      <c r="A23" s="54" t="inlineStr">
        <is>
          <t>JSL</t>
        </is>
      </c>
      <c r="B23" s="55" t="inlineStr">
        <is>
          <t>JSLG3</t>
        </is>
      </c>
      <c r="C23" s="56" t="inlineStr">
        <is>
          <t>Logística</t>
        </is>
      </c>
      <c r="D23" s="57" t="inlineStr">
        <is>
          <t>https://ri.jsl.com.br/</t>
        </is>
      </c>
      <c r="E23" s="17" t="n"/>
    </row>
    <row r="24" ht="15.75" customHeight="1">
      <c r="A24" s="1" t="inlineStr">
        <is>
          <t>▌  INFRAESTRUTURA / RODOV.</t>
        </is>
      </c>
    </row>
    <row r="25" ht="16.5" customHeight="1">
      <c r="A25" s="58" t="inlineStr">
        <is>
          <t>Ecorodovias</t>
        </is>
      </c>
      <c r="B25" s="59" t="inlineStr">
        <is>
          <t>ECOR3</t>
        </is>
      </c>
      <c r="C25" s="60" t="inlineStr">
        <is>
          <t>Infraestrutura / Rodov.</t>
        </is>
      </c>
      <c r="D25" s="61" t="inlineStr">
        <is>
          <t>https://ri.ecorodovias.com.br/</t>
        </is>
      </c>
      <c r="E25" s="28" t="n"/>
    </row>
    <row r="26" ht="15.75" customHeight="1">
      <c r="A26" s="1" t="inlineStr">
        <is>
          <t>▌  PORTO / LOGÍSTICA</t>
        </is>
      </c>
    </row>
    <row r="27" ht="16.5" customHeight="1">
      <c r="A27" s="54" t="inlineStr">
        <is>
          <t>Santos Brasil</t>
        </is>
      </c>
      <c r="B27" s="55" t="inlineStr">
        <is>
          <t>STBP3</t>
        </is>
      </c>
      <c r="C27" s="56" t="inlineStr">
        <is>
          <t>Porto / Logística</t>
        </is>
      </c>
      <c r="D27" s="57" t="inlineStr">
        <is>
          <t>https://ri.santosbrasil.com.br/</t>
        </is>
      </c>
      <c r="E27" s="17" t="n"/>
    </row>
    <row r="28" ht="15.75" customHeight="1">
      <c r="A28" s="1" t="inlineStr">
        <is>
          <t>▌  SANEAMENTO</t>
        </is>
      </c>
    </row>
    <row r="29" ht="16.5" customHeight="1">
      <c r="A29" s="58" t="inlineStr">
        <is>
          <t>Copasa</t>
        </is>
      </c>
      <c r="B29" s="59" t="inlineStr">
        <is>
          <t>CSMG3</t>
        </is>
      </c>
      <c r="C29" s="60" t="inlineStr">
        <is>
          <t>Saneamento</t>
        </is>
      </c>
      <c r="D29" s="61" t="inlineStr">
        <is>
          <t>https://ri.copasa.com.br/</t>
        </is>
      </c>
      <c r="E29" s="28" t="n"/>
    </row>
    <row r="30" ht="16.5" customHeight="1">
      <c r="A30" s="54" t="inlineStr">
        <is>
          <t>Sanepar</t>
        </is>
      </c>
      <c r="B30" s="55" t="inlineStr">
        <is>
          <t>SAPR11</t>
        </is>
      </c>
      <c r="C30" s="56" t="inlineStr">
        <is>
          <t>Saneamento</t>
        </is>
      </c>
      <c r="D30" s="57" t="inlineStr">
        <is>
          <t>https://www.sanepar.com.br/ri</t>
        </is>
      </c>
      <c r="E30" s="17" t="n"/>
    </row>
    <row r="31" ht="16.5" customHeight="1">
      <c r="A31" s="58" t="inlineStr">
        <is>
          <t>Saneago</t>
        </is>
      </c>
      <c r="B31" s="59" t="inlineStr">
        <is>
          <t>SAAG4</t>
        </is>
      </c>
      <c r="C31" s="60" t="inlineStr">
        <is>
          <t>Saneamento</t>
        </is>
      </c>
      <c r="D31" s="61" t="inlineStr">
        <is>
          <t>https://ri.saneago.com.br/</t>
        </is>
      </c>
      <c r="E31" s="28" t="n"/>
    </row>
    <row r="32" ht="15.75" customHeight="1">
      <c r="A32" s="1" t="inlineStr">
        <is>
          <t>▌  LOGÍSTICA / TRANSPORTE</t>
        </is>
      </c>
    </row>
    <row r="33" ht="16.5" customHeight="1">
      <c r="A33" s="54" t="inlineStr">
        <is>
          <t>Vix</t>
        </is>
      </c>
      <c r="B33" s="55" t="inlineStr">
        <is>
          <t>VIIA3</t>
        </is>
      </c>
      <c r="C33" s="56" t="inlineStr">
        <is>
          <t>Logística / Transporte</t>
        </is>
      </c>
      <c r="D33" s="57" t="inlineStr">
        <is>
          <t>https://ri.vix.com.br/</t>
        </is>
      </c>
      <c r="E33" s="17" t="n"/>
    </row>
    <row r="34" ht="15.75" customHeight="1">
      <c r="A34" s="1" t="inlineStr">
        <is>
          <t>▌  LOCAÇÃO</t>
        </is>
      </c>
    </row>
    <row r="35" ht="16.5" customHeight="1">
      <c r="A35" s="58" t="inlineStr">
        <is>
          <t>Armac</t>
        </is>
      </c>
      <c r="B35" s="59" t="inlineStr">
        <is>
          <t>ARML3</t>
        </is>
      </c>
      <c r="C35" s="60" t="inlineStr">
        <is>
          <t>Locação</t>
        </is>
      </c>
      <c r="D35" s="61" t="inlineStr">
        <is>
          <t>https://ri.armac.com.br/</t>
        </is>
      </c>
      <c r="E35" s="28" t="n"/>
    </row>
    <row r="36" ht="16.5" customHeight="1">
      <c r="A36" s="54" t="inlineStr">
        <is>
          <t>Unidas</t>
        </is>
      </c>
      <c r="B36" s="55" t="inlineStr">
        <is>
          <t>LCAM3</t>
        </is>
      </c>
      <c r="C36" s="56" t="inlineStr">
        <is>
          <t>Locação</t>
        </is>
      </c>
      <c r="D36" s="57" t="inlineStr">
        <is>
          <t>https://ri.unidas.com.br/</t>
        </is>
      </c>
      <c r="E36" s="17" t="n"/>
    </row>
    <row r="37" ht="15.75" customHeight="1">
      <c r="A37" s="1" t="inlineStr">
        <is>
          <t>▌  LOCAÇÃO / INDÚSTRIA</t>
        </is>
      </c>
    </row>
    <row r="38" ht="16.5" customHeight="1">
      <c r="A38" s="58" t="inlineStr">
        <is>
          <t>Mills</t>
        </is>
      </c>
      <c r="B38" s="59" t="inlineStr">
        <is>
          <t>MILS3</t>
        </is>
      </c>
      <c r="C38" s="60" t="inlineStr">
        <is>
          <t>Locação / Indústria</t>
        </is>
      </c>
      <c r="D38" s="61" t="inlineStr">
        <is>
          <t>https://ri.mills.com.br/</t>
        </is>
      </c>
      <c r="E38" s="28" t="n"/>
    </row>
    <row r="39" ht="15.75" customHeight="1">
      <c r="A39" s="1" t="inlineStr">
        <is>
          <t>▌  SERVIÇOS INDUSTRIAIS</t>
        </is>
      </c>
    </row>
    <row r="40" ht="16.5" customHeight="1">
      <c r="A40" s="54" t="inlineStr">
        <is>
          <t>Priner</t>
        </is>
      </c>
      <c r="B40" s="55" t="inlineStr">
        <is>
          <t>PRNR3</t>
        </is>
      </c>
      <c r="C40" s="56" t="inlineStr">
        <is>
          <t>Serviços Industriais</t>
        </is>
      </c>
      <c r="D40" s="57" t="inlineStr">
        <is>
          <t>https://ri.priner.com.br/</t>
        </is>
      </c>
      <c r="E40" s="17" t="n"/>
    </row>
    <row r="41" ht="15.75" customHeight="1">
      <c r="A41" s="1" t="inlineStr">
        <is>
          <t>▌  MINERAÇÃO</t>
        </is>
      </c>
    </row>
    <row r="42" ht="16.5" customHeight="1">
      <c r="A42" s="58" t="inlineStr">
        <is>
          <t>Aura Minerals</t>
        </is>
      </c>
      <c r="B42" s="59" t="inlineStr">
        <is>
          <t>AURA33</t>
        </is>
      </c>
      <c r="C42" s="60" t="inlineStr">
        <is>
          <t>Mineração</t>
        </is>
      </c>
      <c r="D42" s="61" t="inlineStr">
        <is>
          <t>https://ri.auraminerals.com/</t>
        </is>
      </c>
      <c r="E42" s="28" t="n"/>
    </row>
    <row r="43" ht="16.5" customHeight="1">
      <c r="A43" s="54" t="inlineStr">
        <is>
          <t>Vale</t>
        </is>
      </c>
      <c r="B43" s="55" t="inlineStr">
        <is>
          <t>VALE3</t>
        </is>
      </c>
      <c r="C43" s="56" t="inlineStr">
        <is>
          <t>Mineração</t>
        </is>
      </c>
      <c r="D43" s="57" t="inlineStr">
        <is>
          <t>https://www.vale.com/pt/investidores</t>
        </is>
      </c>
      <c r="E43" s="17" t="n"/>
    </row>
    <row r="44" ht="15.75" customHeight="1">
      <c r="A44" s="1" t="inlineStr">
        <is>
          <t>▌  SAÚDE</t>
        </is>
      </c>
    </row>
    <row r="45" ht="16.5" customHeight="1">
      <c r="A45" s="58" t="inlineStr">
        <is>
          <t>Rede D'Or</t>
        </is>
      </c>
      <c r="B45" s="59" t="inlineStr">
        <is>
          <t>RDOR3</t>
        </is>
      </c>
      <c r="C45" s="60" t="inlineStr">
        <is>
          <t>Saúde</t>
        </is>
      </c>
      <c r="D45" s="61" t="inlineStr">
        <is>
          <t>https://ri.rededorsp.com.br/</t>
        </is>
      </c>
      <c r="E45" s="28" t="n"/>
    </row>
    <row r="46" ht="16.5" customHeight="1">
      <c r="A46" s="54" t="inlineStr">
        <is>
          <t>GSH</t>
        </is>
      </c>
      <c r="B46" s="55" t="inlineStr">
        <is>
          <t>GSAU3</t>
        </is>
      </c>
      <c r="C46" s="56" t="inlineStr">
        <is>
          <t>Saúde</t>
        </is>
      </c>
      <c r="D46" s="57" t="inlineStr">
        <is>
          <t>https://ri.grupogsh.com.br/</t>
        </is>
      </c>
      <c r="E46" s="17" t="n"/>
    </row>
    <row r="47" ht="16.5" customHeight="1">
      <c r="A47" s="58" t="inlineStr">
        <is>
          <t>Hapvida</t>
        </is>
      </c>
      <c r="B47" s="59" t="inlineStr">
        <is>
          <t>HAPV3</t>
        </is>
      </c>
      <c r="C47" s="60" t="inlineStr">
        <is>
          <t>Saúde</t>
        </is>
      </c>
      <c r="D47" s="61" t="inlineStr">
        <is>
          <t>https://ri.hapvida.com.br/</t>
        </is>
      </c>
      <c r="E47" s="28" t="n"/>
    </row>
    <row r="48" ht="15.75" customHeight="1">
      <c r="A48" s="1" t="inlineStr">
        <is>
          <t>▌  PAPEL E CELULOSE</t>
        </is>
      </c>
    </row>
    <row r="49" ht="16.5" customHeight="1">
      <c r="A49" s="54" t="inlineStr">
        <is>
          <t>Klabin</t>
        </is>
      </c>
      <c r="B49" s="55" t="inlineStr">
        <is>
          <t>KLBN11</t>
        </is>
      </c>
      <c r="C49" s="56" t="inlineStr">
        <is>
          <t>Papel e Celulose</t>
        </is>
      </c>
      <c r="D49" s="57" t="inlineStr">
        <is>
          <t>https://ri.klabin.com.br/</t>
        </is>
      </c>
      <c r="E49" s="17" t="n"/>
    </row>
    <row r="50" ht="15.75" customHeight="1">
      <c r="A50" s="1" t="inlineStr">
        <is>
          <t>▌  QUÍMICA / PETROQUÍMICA</t>
        </is>
      </c>
    </row>
    <row r="51" ht="16.5" customHeight="1">
      <c r="A51" s="58" t="inlineStr">
        <is>
          <t>Unipar</t>
        </is>
      </c>
      <c r="B51" s="59" t="inlineStr">
        <is>
          <t>UNIP6</t>
        </is>
      </c>
      <c r="C51" s="60" t="inlineStr">
        <is>
          <t>Química / Petroquímica</t>
        </is>
      </c>
      <c r="D51" s="61" t="inlineStr">
        <is>
          <t>https://ri.unipar.com/</t>
        </is>
      </c>
      <c r="E51" s="28" t="n"/>
    </row>
    <row r="52" ht="15.75" customHeight="1">
      <c r="A52" s="1" t="inlineStr">
        <is>
          <t>▌  AÇÚCAR E ETANOL</t>
        </is>
      </c>
    </row>
    <row r="53" ht="16.5" customHeight="1">
      <c r="A53" s="54" t="inlineStr">
        <is>
          <t>São Martinho</t>
        </is>
      </c>
      <c r="B53" s="55" t="inlineStr">
        <is>
          <t>SMTO3</t>
        </is>
      </c>
      <c r="C53" s="56" t="inlineStr">
        <is>
          <t>Açúcar e Etanol</t>
        </is>
      </c>
      <c r="D53" s="57" t="inlineStr">
        <is>
          <t>https://ri.saomartinho.com.br/</t>
        </is>
      </c>
      <c r="E53" s="17" t="n"/>
    </row>
    <row r="54" ht="15.75" customHeight="1">
      <c r="A54" s="1" t="inlineStr">
        <is>
          <t>▌  AGRONEGÓCIO</t>
        </is>
      </c>
    </row>
    <row r="55" ht="16.5" customHeight="1">
      <c r="A55" s="58" t="inlineStr">
        <is>
          <t>Adecoagro</t>
        </is>
      </c>
      <c r="B55" s="59" t="inlineStr">
        <is>
          <t>AGRO3</t>
        </is>
      </c>
      <c r="C55" s="60" t="inlineStr">
        <is>
          <t>Agronegócio</t>
        </is>
      </c>
      <c r="D55" s="61" t="inlineStr">
        <is>
          <t>https://ri.adecoagro.com/</t>
        </is>
      </c>
      <c r="E55" s="28" t="n"/>
    </row>
    <row r="56" ht="15.75" customHeight="1">
      <c r="A56" s="1" t="inlineStr">
        <is>
          <t>▌  ALIMENTOS</t>
        </is>
      </c>
    </row>
    <row r="57" ht="16.5" customHeight="1">
      <c r="A57" s="54" t="inlineStr">
        <is>
          <t>BRF</t>
        </is>
      </c>
      <c r="B57" s="55" t="inlineStr">
        <is>
          <t>BRFS3</t>
        </is>
      </c>
      <c r="C57" s="56" t="inlineStr">
        <is>
          <t>Alimentos</t>
        </is>
      </c>
      <c r="D57" s="57" t="inlineStr">
        <is>
          <t>https://ri.brf.com.br/</t>
        </is>
      </c>
      <c r="E57" s="17" t="n"/>
    </row>
    <row r="58" ht="15.75" customHeight="1">
      <c r="A58" s="1" t="inlineStr">
        <is>
          <t>▌  EDUCAÇÃO</t>
        </is>
      </c>
    </row>
    <row r="59" ht="16.5" customHeight="1">
      <c r="A59" s="58" t="inlineStr">
        <is>
          <t>Ânima</t>
        </is>
      </c>
      <c r="B59" s="59" t="inlineStr">
        <is>
          <t>ANIM3</t>
        </is>
      </c>
      <c r="C59" s="60" t="inlineStr">
        <is>
          <t>Educação</t>
        </is>
      </c>
      <c r="D59" s="61" t="inlineStr">
        <is>
          <t>https://ri.animaeducacao.com.br/</t>
        </is>
      </c>
      <c r="E59" s="28" t="n"/>
    </row>
    <row r="60" ht="16.5" customHeight="1">
      <c r="A60" s="54" t="inlineStr">
        <is>
          <t>Inspiralli</t>
        </is>
      </c>
      <c r="B60" s="55" t="inlineStr">
        <is>
          <t>INSP3</t>
        </is>
      </c>
      <c r="C60" s="56" t="inlineStr">
        <is>
          <t>Educação</t>
        </is>
      </c>
      <c r="D60" s="66" t="inlineStr">
        <is>
          <t>https://ri.inspiralli.com.br/</t>
        </is>
      </c>
      <c r="E60" s="17" t="n"/>
    </row>
    <row r="61" ht="16.5" customHeight="1">
      <c r="A61" s="58" t="inlineStr">
        <is>
          <t>Yduqs</t>
        </is>
      </c>
      <c r="B61" s="59" t="inlineStr">
        <is>
          <t>YDUQ3</t>
        </is>
      </c>
      <c r="C61" s="60" t="inlineStr">
        <is>
          <t>Educação</t>
        </is>
      </c>
      <c r="D61" s="61" t="inlineStr">
        <is>
          <t>https://ri.yduqs.com.br/</t>
        </is>
      </c>
      <c r="E61" s="28" t="n"/>
    </row>
    <row r="62" ht="15.75" customHeight="1">
      <c r="A62" s="1" t="inlineStr">
        <is>
          <t>▌  EDUCAÇÃO MÉDICA</t>
        </is>
      </c>
    </row>
    <row r="63" ht="16.5" customHeight="1">
      <c r="A63" s="54" t="inlineStr">
        <is>
          <t>Afya</t>
        </is>
      </c>
      <c r="B63" s="55" t="inlineStr">
        <is>
          <t>AFYA3</t>
        </is>
      </c>
      <c r="C63" s="56" t="inlineStr">
        <is>
          <t>Educação Médica</t>
        </is>
      </c>
      <c r="D63" s="57" t="inlineStr">
        <is>
          <t>https://ri.afya.com.br/</t>
        </is>
      </c>
      <c r="E63" s="17" t="n"/>
    </row>
    <row r="64" ht="15.75" customHeight="1">
      <c r="A64" s="1" t="inlineStr">
        <is>
          <t>▌  EDUCAÇÃO</t>
        </is>
      </c>
    </row>
    <row r="65" ht="16.5" customHeight="1">
      <c r="A65" s="58" t="inlineStr">
        <is>
          <t>Cruzeiro do Sul</t>
        </is>
      </c>
      <c r="B65" s="59" t="inlineStr">
        <is>
          <t>CSED3</t>
        </is>
      </c>
      <c r="C65" s="60" t="inlineStr">
        <is>
          <t>Educação</t>
        </is>
      </c>
      <c r="D65" s="61" t="inlineStr">
        <is>
          <t>https://ri.cruzeirodosul.edu.br/</t>
        </is>
      </c>
      <c r="E65" s="28" t="n"/>
    </row>
    <row r="66" ht="16.5" customHeight="1">
      <c r="A66" s="54" t="inlineStr">
        <is>
          <t>Cogna</t>
        </is>
      </c>
      <c r="B66" s="55" t="inlineStr">
        <is>
          <t>COGN3</t>
        </is>
      </c>
      <c r="C66" s="56" t="inlineStr">
        <is>
          <t>Educação</t>
        </is>
      </c>
      <c r="D66" s="57" t="inlineStr">
        <is>
          <t>https://ri.cogna.com.br/</t>
        </is>
      </c>
      <c r="E66" s="17" t="n"/>
    </row>
    <row r="67" ht="16.5" customHeight="1">
      <c r="A67" s="58" t="inlineStr">
        <is>
          <t>Vitru</t>
        </is>
      </c>
      <c r="B67" s="59" t="inlineStr">
        <is>
          <t>VTRU3</t>
        </is>
      </c>
      <c r="C67" s="60" t="inlineStr">
        <is>
          <t>Educação</t>
        </is>
      </c>
      <c r="D67" s="61" t="inlineStr">
        <is>
          <t>https://ri.vitru.com.br/</t>
        </is>
      </c>
      <c r="E67" s="28" t="n"/>
    </row>
    <row r="68" ht="16.5" customHeight="1">
      <c r="A68" s="54" t="inlineStr">
        <is>
          <t>Ser Educacional</t>
        </is>
      </c>
      <c r="B68" s="55" t="inlineStr">
        <is>
          <t>SEER3</t>
        </is>
      </c>
      <c r="C68" s="56" t="inlineStr">
        <is>
          <t>Educação</t>
        </is>
      </c>
      <c r="D68" s="57" t="inlineStr">
        <is>
          <t>https://ri.sereducacional.com/</t>
        </is>
      </c>
      <c r="E68" s="17" t="n"/>
    </row>
    <row r="69" ht="16.5" customHeight="1">
      <c r="A69" s="58" t="inlineStr">
        <is>
          <t>Salta Educação</t>
        </is>
      </c>
      <c r="B69" s="59" t="inlineStr">
        <is>
          <t>N/A</t>
        </is>
      </c>
      <c r="C69" s="60" t="inlineStr">
        <is>
          <t>Educação</t>
        </is>
      </c>
      <c r="D69" s="61" t="inlineStr">
        <is>
          <t>https://ri.saltaeducacao.com.br/</t>
        </is>
      </c>
      <c r="E69" s="28" t="n"/>
    </row>
    <row r="70" ht="16.5" customHeight="1">
      <c r="A70" s="54" t="inlineStr">
        <is>
          <t>Inspira</t>
        </is>
      </c>
      <c r="B70" s="55" t="inlineStr">
        <is>
          <t>N/A</t>
        </is>
      </c>
      <c r="C70" s="56" t="inlineStr">
        <is>
          <t>Educação</t>
        </is>
      </c>
      <c r="D70" s="57" t="inlineStr">
        <is>
          <t>https://ri.inspira.edu.br/</t>
        </is>
      </c>
      <c r="E70" s="17" t="n"/>
    </row>
    <row r="71" ht="15.75" customHeight="1">
      <c r="A71" s="1" t="inlineStr">
        <is>
          <t>▌  FITNESS / SAÚDE</t>
        </is>
      </c>
    </row>
    <row r="72" ht="16.5" customHeight="1">
      <c r="A72" s="58" t="inlineStr">
        <is>
          <t>Smartfit</t>
        </is>
      </c>
      <c r="B72" s="59" t="inlineStr">
        <is>
          <t>SMFT3</t>
        </is>
      </c>
      <c r="C72" s="60" t="inlineStr">
        <is>
          <t>Fitness / Saúde</t>
        </is>
      </c>
      <c r="D72" s="61" t="inlineStr">
        <is>
          <t>https://ri.smartfit.com.br/</t>
        </is>
      </c>
      <c r="E72" s="28" t="n"/>
    </row>
  </sheetData>
  <mergeCells count="25">
    <mergeCell ref="A39:E39"/>
    <mergeCell ref="A34:E34"/>
    <mergeCell ref="A48:E48"/>
    <mergeCell ref="A24:E24"/>
    <mergeCell ref="A64:E64"/>
    <mergeCell ref="A1:E1"/>
    <mergeCell ref="A54:E54"/>
    <mergeCell ref="A41:E41"/>
    <mergeCell ref="A37:E37"/>
    <mergeCell ref="A56:E56"/>
    <mergeCell ref="A50:E50"/>
    <mergeCell ref="A26:E26"/>
    <mergeCell ref="A2:E2"/>
    <mergeCell ref="A71:E71"/>
    <mergeCell ref="A32:E32"/>
    <mergeCell ref="A8:E8"/>
    <mergeCell ref="A22:E22"/>
    <mergeCell ref="A17:E17"/>
    <mergeCell ref="A4:E4"/>
    <mergeCell ref="A62:E62"/>
    <mergeCell ref="A52:E52"/>
    <mergeCell ref="A28:E28"/>
    <mergeCell ref="A19:E19"/>
    <mergeCell ref="A44:E44"/>
    <mergeCell ref="A58:E58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8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3" r:id="rId15"/>
    <hyperlink xmlns:r="http://schemas.openxmlformats.org/officeDocument/2006/relationships" ref="D25" r:id="rId16"/>
    <hyperlink xmlns:r="http://schemas.openxmlformats.org/officeDocument/2006/relationships" ref="D27" r:id="rId17"/>
    <hyperlink xmlns:r="http://schemas.openxmlformats.org/officeDocument/2006/relationships" ref="D29" r:id="rId18"/>
    <hyperlink xmlns:r="http://schemas.openxmlformats.org/officeDocument/2006/relationships" ref="D30" r:id="rId19"/>
    <hyperlink xmlns:r="http://schemas.openxmlformats.org/officeDocument/2006/relationships" ref="D31" r:id="rId20"/>
    <hyperlink xmlns:r="http://schemas.openxmlformats.org/officeDocument/2006/relationships" ref="D33" r:id="rId21"/>
    <hyperlink xmlns:r="http://schemas.openxmlformats.org/officeDocument/2006/relationships" ref="D35" r:id="rId22"/>
    <hyperlink xmlns:r="http://schemas.openxmlformats.org/officeDocument/2006/relationships" ref="D36" r:id="rId23"/>
    <hyperlink xmlns:r="http://schemas.openxmlformats.org/officeDocument/2006/relationships" ref="D38" r:id="rId24"/>
    <hyperlink xmlns:r="http://schemas.openxmlformats.org/officeDocument/2006/relationships" ref="D40" r:id="rId25"/>
    <hyperlink xmlns:r="http://schemas.openxmlformats.org/officeDocument/2006/relationships" ref="D42" r:id="rId26"/>
    <hyperlink xmlns:r="http://schemas.openxmlformats.org/officeDocument/2006/relationships" ref="D43" r:id="rId27"/>
    <hyperlink xmlns:r="http://schemas.openxmlformats.org/officeDocument/2006/relationships" ref="D45" r:id="rId28"/>
    <hyperlink xmlns:r="http://schemas.openxmlformats.org/officeDocument/2006/relationships" ref="D46" r:id="rId29"/>
    <hyperlink xmlns:r="http://schemas.openxmlformats.org/officeDocument/2006/relationships" ref="D47" r:id="rId30"/>
    <hyperlink xmlns:r="http://schemas.openxmlformats.org/officeDocument/2006/relationships" ref="D49" r:id="rId31"/>
    <hyperlink xmlns:r="http://schemas.openxmlformats.org/officeDocument/2006/relationships" ref="D51" r:id="rId32"/>
    <hyperlink xmlns:r="http://schemas.openxmlformats.org/officeDocument/2006/relationships" ref="D53" r:id="rId33"/>
    <hyperlink xmlns:r="http://schemas.openxmlformats.org/officeDocument/2006/relationships" ref="D55" r:id="rId34"/>
    <hyperlink xmlns:r="http://schemas.openxmlformats.org/officeDocument/2006/relationships" ref="D57" r:id="rId35"/>
    <hyperlink xmlns:r="http://schemas.openxmlformats.org/officeDocument/2006/relationships" ref="D59" r:id="rId36"/>
    <hyperlink xmlns:r="http://schemas.openxmlformats.org/officeDocument/2006/relationships" ref="D60" r:id="rId37"/>
    <hyperlink xmlns:r="http://schemas.openxmlformats.org/officeDocument/2006/relationships" ref="D61" r:id="rId38"/>
    <hyperlink xmlns:r="http://schemas.openxmlformats.org/officeDocument/2006/relationships" ref="D63" r:id="rId39"/>
    <hyperlink xmlns:r="http://schemas.openxmlformats.org/officeDocument/2006/relationships" ref="D65" r:id="rId40"/>
    <hyperlink xmlns:r="http://schemas.openxmlformats.org/officeDocument/2006/relationships" ref="D66" r:id="rId41"/>
    <hyperlink xmlns:r="http://schemas.openxmlformats.org/officeDocument/2006/relationships" ref="D67" r:id="rId42"/>
    <hyperlink xmlns:r="http://schemas.openxmlformats.org/officeDocument/2006/relationships" ref="D68" r:id="rId43"/>
    <hyperlink xmlns:r="http://schemas.openxmlformats.org/officeDocument/2006/relationships" ref="D69" r:id="rId44"/>
    <hyperlink xmlns:r="http://schemas.openxmlformats.org/officeDocument/2006/relationships" ref="D70" r:id="rId45"/>
    <hyperlink xmlns:r="http://schemas.openxmlformats.org/officeDocument/2006/relationships" ref="D72" r:id="rId46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595959"/>
    <outlinePr summaryBelow="1" summaryRight="1"/>
    <pageSetUpPr/>
  </sheetPr>
  <dimension ref="A1:B22"/>
  <sheetViews>
    <sheetView showGridLines="0" zoomScaleNormal="100" workbookViewId="0">
      <selection activeCell="A1" sqref="A1:B1"/>
    </sheetView>
  </sheetViews>
  <sheetFormatPr baseColWidth="10" defaultColWidth="8.6640625" defaultRowHeight="15"/>
  <cols>
    <col width="28" customWidth="1" min="1" max="1"/>
    <col width="72" customWidth="1" min="2" max="2"/>
  </cols>
  <sheetData>
    <row r="1" ht="15" customHeight="1">
      <c r="A1" s="13" t="inlineStr">
        <is>
          <t>NOTAS METODOLÓGICAS  |  DEFINIÇÕES E CONVENÇÕES</t>
        </is>
      </c>
    </row>
    <row r="2" ht="15.75" customHeight="1">
      <c r="A2" s="46" t="inlineStr">
        <is>
          <t>Campo / Métrica</t>
        </is>
      </c>
      <c r="B2" s="46" t="inlineStr">
        <is>
          <t>Definição e Metodologia</t>
        </is>
      </c>
    </row>
    <row r="3" ht="30" customHeight="1">
      <c r="A3" s="62" t="inlineStr">
        <is>
          <t>PERÍODO BASE</t>
        </is>
      </c>
      <c r="B3" s="63" t="inlineStr">
        <is>
          <t>Último quarter com LTM (Last Twelve Months) divulgado. Ajustar label na aba 'Painel de Crédito' conforme publicação de resultados.</t>
        </is>
      </c>
    </row>
    <row r="4" ht="30" customHeight="1">
      <c r="A4" s="64" t="inlineStr">
        <is>
          <t>DÍVIDA BRUTA</t>
        </is>
      </c>
      <c r="B4" s="65" t="inlineStr">
        <is>
          <t>Total de dívidas financeiras onerosas: debêntures, bonds, CRAs, NPs, CCBs, empréstimos bancários e arrendamentos (IFRS 16 a critério do analista — indicar se incluído).</t>
        </is>
      </c>
    </row>
    <row r="5" ht="30" customHeight="1">
      <c r="A5" s="62" t="inlineStr">
        <is>
          <t>CAIXA</t>
        </is>
      </c>
      <c r="B5" s="63" t="inlineStr">
        <is>
          <t>Caixa e equivalentes + aplicações financeiras de curto prazo. Excluir restritos.</t>
        </is>
      </c>
    </row>
    <row r="6" ht="30" customHeight="1">
      <c r="A6" s="64" t="inlineStr">
        <is>
          <t>DÍVIDA LÍQUIDA</t>
        </is>
      </c>
      <c r="B6" s="65" t="inlineStr">
        <is>
          <t>Dívida Bruta – Caixa. Fórmula automática na planilha. Se negativo, indica posição de caixa líquido.</t>
        </is>
      </c>
    </row>
    <row r="7" ht="30" customHeight="1">
      <c r="A7" s="62" t="inlineStr">
        <is>
          <t>EBITDA LTM</t>
        </is>
      </c>
      <c r="B7" s="63" t="inlineStr">
        <is>
          <t>EBITDA ajustado LTM conforme reportado pela companhia (preferir EBITDA recorrente/ajustado divulgado no release). Se não divulgado, calcular: EBIT + D&amp;A.</t>
        </is>
      </c>
    </row>
    <row r="8" ht="30" customHeight="1">
      <c r="A8" s="64" t="inlineStr">
        <is>
          <t>DL / EBITDA</t>
        </is>
      </c>
      <c r="B8" s="65" t="inlineStr">
        <is>
          <t>Alavancagem financeira. Calculado automaticamente. Referência: &gt;4,0x = elevado; 2,0-4,0x = moderado; &lt;2,0x = baixo (parâmetros setoriais variam).</t>
        </is>
      </c>
    </row>
    <row r="9" ht="30" customHeight="1">
      <c r="A9" s="62" t="inlineStr">
        <is>
          <t>EBITDA / DESP. FIN.</t>
        </is>
      </c>
      <c r="B9" s="63" t="inlineStr">
        <is>
          <t>Índice de cobertura de juros (ICJ). Input manual. Referência: &lt;2,0x = zona de atenção; &gt;3,0x = confortável.</t>
        </is>
      </c>
    </row>
    <row r="10" ht="30" customHeight="1">
      <c r="A10" s="64" t="inlineStr">
        <is>
          <t>CUSTO MÉDIO</t>
        </is>
      </c>
      <c r="B10" s="65" t="inlineStr">
        <is>
          <t>Custo médio ponderado da dívida (% a.a.), conforme disclosure da companhia ou calculado via juros pagos / saldo médio. Indicar se CDI+spread ou % CDI.</t>
        </is>
      </c>
    </row>
    <row r="11" ht="30" customHeight="1">
      <c r="A11" s="62" t="inlineStr">
        <is>
          <t>DURATION MÉDIA</t>
        </is>
      </c>
      <c r="B11" s="63" t="inlineStr">
        <is>
          <t>Prazo médio ponderado da dívida em anos, considerando fluxos de principal e juros, ou conforme disclosure da empresa.</t>
        </is>
      </c>
    </row>
    <row r="12" ht="30" customHeight="1">
      <c r="A12" s="64" t="inlineStr">
        <is>
          <t>% CURTO PRAZO</t>
        </is>
      </c>
      <c r="B12" s="65" t="inlineStr">
        <is>
          <t>Parcela da dívida bruta vencendo em até 12 meses / dívida bruta total.</t>
        </is>
      </c>
    </row>
    <row r="13" ht="30" customHeight="1">
      <c r="A13" s="62" t="inlineStr">
        <is>
          <t>DÍVIDA CP</t>
        </is>
      </c>
      <c r="B13" s="63" t="inlineStr">
        <is>
          <t>Saldo da dívida com vencimento em até 12 meses (circulante). Fonte: notas explicativas.</t>
        </is>
      </c>
    </row>
    <row r="14" ht="30" customHeight="1">
      <c r="A14" s="64" t="inlineStr">
        <is>
          <t>CAIXA / DÍVIDA CP</t>
        </is>
      </c>
      <c r="B14" s="65" t="inlineStr">
        <is>
          <t>Liquidez imediata. &gt;1,0x = caixa cobre vencimentos CP; &lt;1,0x = possível necessidade de refinanciamento ou novas captações.</t>
        </is>
      </c>
    </row>
    <row r="15" ht="30" customHeight="1">
      <c r="A15" s="62" t="inlineStr">
        <is>
          <t>COVENANTS</t>
        </is>
      </c>
      <c r="B15" s="63" t="inlineStr">
        <is>
          <t>Principais covenants financeiros e limiares definidos nos instrumentos de dívida (ex.: DL/EBITDA ≤ 3,5x; ICJ ≥ 2,0x). Fonte: escrituras/indentures/notas explicativas.</t>
        </is>
      </c>
    </row>
    <row r="16" ht="30" customHeight="1">
      <c r="A16" s="64" t="inlineStr">
        <is>
          <t>GUIDANCE CAPEX</t>
        </is>
      </c>
      <c r="B16" s="65" t="inlineStr">
        <is>
          <t>Orientação de investimentos divulgada nos últimos releases, earnings calls ou Formulário de Referência — horizonte 12-24 meses.</t>
        </is>
      </c>
    </row>
    <row r="17" ht="30" customHeight="1">
      <c r="A17" s="62" t="inlineStr">
        <is>
          <t>M&amp;A RECENTE</t>
        </is>
      </c>
      <c r="B17" s="63" t="inlineStr">
        <is>
          <t>M&amp;A anunciado nos últimos 12 meses: alvo, valor indicativo e impacto esperado na alavancagem.</t>
        </is>
      </c>
    </row>
    <row r="18" ht="30" customHeight="1">
      <c r="A18" s="64" t="inlineStr">
        <is>
          <t>CRONOGRAMA AMORT.</t>
        </is>
      </c>
      <c r="B18" s="65" t="inlineStr">
        <is>
          <t>Preencher aba 'Cronograma de Amortização' com um instrumento por linha extraído das notas explicativas. Priorizar instrumentos &gt; R$ 50mm.</t>
        </is>
      </c>
    </row>
    <row r="19" ht="30" customHeight="1">
      <c r="A19" s="62" t="inlineStr">
        <is>
          <t>WALL OF MATURITIES</t>
        </is>
      </c>
      <c r="B19" s="63" t="inlineStr">
        <is>
          <t>Consolidado de vencimentos anuais extraído do cronograma — útil para identificar concentrações de refi e janelas de oportunidade para DCM.</t>
        </is>
      </c>
    </row>
    <row r="20" ht="30" customHeight="1">
      <c r="A20" s="64" t="inlineStr">
        <is>
          <t>CONVENÇÃO CORES</t>
        </is>
      </c>
      <c r="B20" s="65" t="inlineStr">
        <is>
          <t>Azul = input hardcode | Preto = fórmula | Verde = link cross-sheet | Amarelo BG = atenção / campo a revisar.</t>
        </is>
      </c>
    </row>
    <row r="21" ht="30" customHeight="1">
      <c r="A21" s="62" t="inlineStr">
        <is>
          <t>FONTES PRIMÁRIAS</t>
        </is>
      </c>
      <c r="B21" s="63" t="inlineStr">
        <is>
          <t>Releases de resultados trimestrais, Notas Explicativas (ITR/IAN), Formulário de Referência CVM, Escrituras de Debêntures (CVM), Earnings Call Transcripts.</t>
        </is>
      </c>
    </row>
    <row r="22" ht="30" customHeight="1">
      <c r="A22" s="64" t="inlineStr">
        <is>
          <t>ATUALIZAÇÃO</t>
        </is>
      </c>
      <c r="B22" s="65" t="inlineStr">
        <is>
          <t>Recomendado atualizar a cada ciclo de resultados (trimestral). Registrar data de atualização na col. 'Última Atualização' da aba Fontes—RI.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55" customWidth="1" min="4" max="4"/>
    <col width="40" customWidth="1" min="5" max="5"/>
    <col width="18" customWidth="1" min="6" max="6"/>
  </cols>
  <sheetData>
    <row r="1">
      <c r="A1" s="77" t="inlineStr">
        <is>
          <t>Empresa</t>
        </is>
      </c>
      <c r="B1" s="77" t="inlineStr">
        <is>
          <t>Campo Afetado</t>
        </is>
      </c>
      <c r="C1" s="77" t="inlineStr">
        <is>
          <t>Situação</t>
        </is>
      </c>
      <c r="D1" s="77" t="inlineStr">
        <is>
          <t>Detalhamento</t>
        </is>
      </c>
      <c r="E1" s="77" t="inlineStr">
        <is>
          <t>Fonte (doc + página)</t>
        </is>
      </c>
      <c r="F1" s="77" t="inlineStr">
        <is>
          <t>Data do Documento</t>
        </is>
      </c>
    </row>
    <row r="2">
      <c r="A2" s="73" t="inlineStr">
        <is>
          <t>Ânima</t>
        </is>
      </c>
      <c r="B2" s="73" t="inlineStr">
        <is>
          <t>Período / LTM</t>
        </is>
      </c>
      <c r="C2" s="73" t="inlineStr">
        <is>
          <t>Calculado</t>
        </is>
      </c>
      <c r="D2" s="73" t="inlineStr">
        <is>
          <t>LTM = FY2025 (4T25 release) − 1T25 + 1T26 (ITR 1T26)</t>
        </is>
      </c>
      <c r="E2" s="73" t="inlineStr">
        <is>
          <t>Anima_Release_4T25_PT.pdf pg.1; Anima_Release_1T26.pdf pg.1</t>
        </is>
      </c>
      <c r="F2" s="73" t="inlineStr">
        <is>
          <t>12/03/2026; 06/05/2026</t>
        </is>
      </c>
    </row>
    <row r="3">
      <c r="A3" s="73" t="inlineStr">
        <is>
          <t>Ânima</t>
        </is>
      </c>
      <c r="B3" s="73" t="inlineStr">
        <is>
          <t>Receita Líquida LTM</t>
        </is>
      </c>
      <c r="C3" s="73" t="inlineStr">
        <is>
          <t>Calculado</t>
        </is>
      </c>
      <c r="D3" s="73" t="inlineStr">
        <is>
          <t>R$4.109,4mm — figura explícita do release 1T26 (PMR pág.10). Cálculo via fórmula: 4.023,7−1.040,1+1.120,4=4.104,0mm (dif. de R$5,4mm por arredondamento nos trimestrais).</t>
        </is>
      </c>
      <c r="E3" s="73" t="inlineStr">
        <is>
          <t>Anima_Release_1T26.pdf pg.10</t>
        </is>
      </c>
      <c r="F3" s="73" t="inlineStr">
        <is>
          <t>06/05/2026</t>
        </is>
      </c>
    </row>
    <row r="4">
      <c r="A4" s="73" t="inlineStr">
        <is>
          <t>Ânima</t>
        </is>
      </c>
      <c r="B4" s="73" t="inlineStr">
        <is>
          <t>EBIT LTM</t>
        </is>
      </c>
      <c r="C4" s="73" t="inlineStr">
        <is>
          <t>Calculado</t>
        </is>
      </c>
      <c r="D4" s="73" t="inlineStr">
        <is>
          <t>1.002,0−304,6+325,6=R$1.023,0mm. EBIT = Resultado antes do resultado financeiro (IFRS). Inclui equivalência patrimonial.</t>
        </is>
      </c>
      <c r="E4" s="73" t="inlineStr">
        <is>
          <t>Anima_Release_4T25_PT.pdf pg.20; Anima_DF_1T26.pdf pg.5</t>
        </is>
      </c>
      <c r="F4" s="73" t="inlineStr">
        <is>
          <t>12/03/2026; 06/05/2026</t>
        </is>
      </c>
    </row>
    <row r="5">
      <c r="A5" s="73" t="inlineStr">
        <is>
          <t>Ânima</t>
        </is>
      </c>
      <c r="B5" s="73" t="inlineStr">
        <is>
          <t>D&amp;A LTM</t>
        </is>
      </c>
      <c r="C5" s="73" t="inlineStr">
        <is>
          <t>Calculado</t>
        </is>
      </c>
      <c r="D5" s="73" t="inlineStr">
        <is>
          <t>427,4−109,4+102,8=R$420,8mm. D&amp;A inclui amortização de ativo de direito de uso (IFRS16). Hierarquia (3): calculado.</t>
        </is>
      </c>
      <c r="E5" s="73" t="inlineStr">
        <is>
          <t>Anima_Release_4T25_PT.pdf pg.15; Anima_Release_1T26.pdf pg.9</t>
        </is>
      </c>
      <c r="F5" s="73" t="inlineStr">
        <is>
          <t>12/03/2026; 06/05/2026</t>
        </is>
      </c>
    </row>
    <row r="6">
      <c r="A6" s="73" t="inlineStr">
        <is>
          <t>Ânima</t>
        </is>
      </c>
      <c r="B6" s="73" t="inlineStr">
        <is>
          <t>EBITDA LTM (col V)</t>
        </is>
      </c>
      <c r="C6" s="73" t="inlineStr">
        <is>
          <t>Calculado</t>
        </is>
      </c>
      <c r="D6" s="73" t="inlineStr">
        <is>
          <t>EBITDA (fórmula) = EBIT+D&amp;A = R$1.443,8mm. Release: EBITDA Ajustado ex-IFRS16 LTM = R$1.222,2mm (excl. IFRS16 e ajustes). Hierarquia usada: (3) EBIT+D&amp;A.</t>
        </is>
      </c>
      <c r="E6" s="73" t="inlineStr">
        <is>
          <t>Anima_Release_1T26.pdf pg.10</t>
        </is>
      </c>
      <c r="F6" s="73" t="inlineStr">
        <is>
          <t>06/05/2026</t>
        </is>
      </c>
    </row>
    <row r="7">
      <c r="A7" s="73" t="inlineStr">
        <is>
          <t>Ânima</t>
        </is>
      </c>
      <c r="B7" s="73" t="inlineStr">
        <is>
          <t>Desp. Financ. Bruta LTM</t>
        </is>
      </c>
      <c r="C7" s="73" t="inlineStr">
        <is>
          <t>Calculado</t>
        </is>
      </c>
      <c r="D7" s="73" t="inlineStr">
        <is>
          <t>Excluída despesa IFRS16 de arrendamento: (1.001,6−142,9)−(225,0−36,1)+(259,4−41,9)=R$887,3mm. Linha 'Desp. comissões/juros empréstimos' pode incluir efeito cambial do swap IFC (não separável).</t>
        </is>
      </c>
      <c r="E7" s="73" t="inlineStr">
        <is>
          <t>Anima_Release_4T25_PT.pdf pg.14; Anima_DF_1T26.pdf pg.8</t>
        </is>
      </c>
      <c r="F7" s="73" t="inlineStr">
        <is>
          <t>12/03/2026; 06/05/2026</t>
        </is>
      </c>
    </row>
    <row r="8">
      <c r="A8" s="73" t="inlineStr">
        <is>
          <t>Ânima</t>
        </is>
      </c>
      <c r="B8" s="73" t="inlineStr">
        <is>
          <t>Rec. Financeira LTM</t>
        </is>
      </c>
      <c r="C8" s="73" t="inlineStr">
        <is>
          <t>Calculado</t>
        </is>
      </c>
      <c r="D8" s="73" t="inlineStr">
        <is>
          <t>252,5−53,8+74,0=R$272,7mm.</t>
        </is>
      </c>
      <c r="E8" s="73" t="inlineStr">
        <is>
          <t>Anima_Release_4T25_PT.pdf pg.14; Anima_Release_1T26.pdf pg.8</t>
        </is>
      </c>
      <c r="F8" s="73" t="inlineStr">
        <is>
          <t>12/03/2026; 06/05/2026</t>
        </is>
      </c>
    </row>
    <row r="9">
      <c r="A9" s="73" t="inlineStr">
        <is>
          <t>Ânima</t>
        </is>
      </c>
      <c r="B9" s="73" t="inlineStr">
        <is>
          <t>Capex LTM</t>
        </is>
      </c>
      <c r="C9" s="73" t="inlineStr">
        <is>
          <t>Calculado</t>
        </is>
      </c>
      <c r="D9" s="73" t="inlineStr">
        <is>
          <t>217,3−51,0+54,5=R$220,8mm. Capex total (imobilizado+intangível), excluído M&amp;A (FASEH R$45,3mm e outras aquisições).</t>
        </is>
      </c>
      <c r="E9" s="73" t="inlineStr">
        <is>
          <t>Anima_Release_4T25_PT.pdf pg.18; Anima_Release_1T26.pdf pg.12</t>
        </is>
      </c>
      <c r="F9" s="73" t="inlineStr">
        <is>
          <t>12/03/2026; 06/05/2026</t>
        </is>
      </c>
    </row>
    <row r="10">
      <c r="A10" s="73" t="inlineStr">
        <is>
          <t>Ânima</t>
        </is>
      </c>
      <c r="B10" s="73" t="inlineStr">
        <is>
          <t>Caixa e Aplicações CP</t>
        </is>
      </c>
      <c r="C10" s="73" t="inlineStr">
        <is>
          <t>Ajustado</t>
        </is>
      </c>
      <c r="D10" s="73" t="inlineStr">
        <is>
          <t>Aplicações LP (R$25,7mm) excluídas do caixa CP. R$31,8mm das aplicações estão em garantia (parcialmente restritas) — mantidas por representar &lt;2% do total.</t>
        </is>
      </c>
      <c r="E10" s="73" t="inlineStr">
        <is>
          <t>Anima_DF_1T26.pdf Nota 5 pg.13</t>
        </is>
      </c>
      <c r="F10" s="73" t="inlineStr">
        <is>
          <t>06/05/2026</t>
        </is>
      </c>
    </row>
    <row r="11">
      <c r="A11" s="73" t="inlineStr">
        <is>
          <t>Ânima</t>
        </is>
      </c>
      <c r="B11" s="73" t="inlineStr">
        <is>
          <t>Emp. &amp; Fin. CP/LP</t>
        </is>
      </c>
      <c r="C11" s="73" t="inlineStr">
        <is>
          <t>Ajustado</t>
        </is>
      </c>
      <c r="D11" s="73" t="inlineStr">
        <is>
          <t>Excluídos derivativos CP (R$20,1mm) e LP (R$21,8mm) conforme R10. Inclui debêntures e empréstimos bancários consolidados (Nota 12).</t>
        </is>
      </c>
      <c r="E11" s="73" t="inlineStr">
        <is>
          <t>Anima_DF_1T26.pdf Nota 12 pg.26; Balanço pg.4</t>
        </is>
      </c>
      <c r="F11" s="73" t="inlineStr">
        <is>
          <t>06/05/2026</t>
        </is>
      </c>
    </row>
    <row r="12">
      <c r="A12" s="73" t="inlineStr">
        <is>
          <t>Ânima</t>
        </is>
      </c>
      <c r="B12" s="73" t="inlineStr">
        <is>
          <t>Valor Próx. Amortização</t>
        </is>
      </c>
      <c r="C12" s="73" t="inlineStr">
        <is>
          <t>Não disponível</t>
        </is>
      </c>
      <c r="D12" s="73" t="inlineStr">
        <is>
          <t>Valores exatos por parcela não detalhados no Nota 12 do ITR 1T26 para instrumentos com amortização parcial. Deixados em branco.</t>
        </is>
      </c>
      <c r="E12" s="73" t="inlineStr">
        <is>
          <t>Anima_DF_1T26.pdf Nota 12 pg.26-27</t>
        </is>
      </c>
      <c r="F12" s="73" t="inlineStr">
        <is>
          <t>06/05/2026</t>
        </is>
      </c>
    </row>
    <row r="13">
      <c r="A13" s="73" t="inlineStr">
        <is>
          <t>Ânima</t>
        </is>
      </c>
      <c r="B13" s="73" t="inlineStr">
        <is>
          <t>Guidance Capex 12/24m</t>
        </is>
      </c>
      <c r="C13" s="73" t="inlineStr">
        <is>
          <t>Não disponível</t>
        </is>
      </c>
      <c r="D13" s="73" t="inlineStr">
        <is>
          <t>Empresa não divulga guidance de capex explícito. Histórico: ~5,4% da receita líquida (2025).</t>
        </is>
      </c>
      <c r="E13" s="73" t="inlineStr">
        <is>
          <t>Anima_Release_4T25_PT.pdf pg.18</t>
        </is>
      </c>
      <c r="F13" s="73" t="inlineStr">
        <is>
          <t>12/03/2026</t>
        </is>
      </c>
    </row>
    <row r="14">
      <c r="A14" s="73" t="inlineStr">
        <is>
          <t>Yduqs</t>
        </is>
      </c>
      <c r="B14" s="73" t="inlineStr">
        <is>
          <t>Período / LTM</t>
        </is>
      </c>
      <c r="C14" s="73" t="inlineStr">
        <is>
          <t>Calculado</t>
        </is>
      </c>
      <c r="D14" s="73" t="inlineStr">
        <is>
          <t>LTM = FY2025 (DFP 31/12/2025) − 1T25 + 1T26 (ITR 31/03/2026)</t>
        </is>
      </c>
      <c r="E14" s="73" t="inlineStr">
        <is>
          <t>Complete_com_o_Docusign_Yduqs_Part_4T25_vf_C.pdf pg.19; Yduqs_ITR_1T26.pdf pg.13</t>
        </is>
      </c>
      <c r="F14" s="73" t="inlineStr">
        <is>
          <t>DFP:31/12/2025; ITR:31/03/2026</t>
        </is>
      </c>
    </row>
    <row r="15">
      <c r="A15" s="73" t="inlineStr">
        <is>
          <t>Yduqs</t>
        </is>
      </c>
      <c r="B15" s="73" t="inlineStr">
        <is>
          <t>Receita Líquida LTM</t>
        </is>
      </c>
      <c r="C15" s="73" t="inlineStr">
        <is>
          <t>Calculado</t>
        </is>
      </c>
      <c r="D15" s="73" t="inlineStr">
        <is>
          <t>5.521,7 − 1.487,1 + 1.508,8 = R$5.543,4mm. Fonte 1T26/1T25: ITR DRE consolidada pg.13. Fonte FY2025: DFP DRE consolidada pg.19.</t>
        </is>
      </c>
      <c r="E15" s="73" t="inlineStr">
        <is>
          <t>Yduqs_ITR_1T26.pdf pg.13; DFP 4T25 pg.19</t>
        </is>
      </c>
      <c r="F15" s="73" t="inlineStr">
        <is>
          <t>31/03/2026; 31/12/2025</t>
        </is>
      </c>
    </row>
    <row r="16">
      <c r="A16" s="73" t="inlineStr">
        <is>
          <t>Yduqs</t>
        </is>
      </c>
      <c r="B16" s="73" t="inlineStr">
        <is>
          <t>EBIT LTM</t>
        </is>
      </c>
      <c r="C16" s="73" t="inlineStr">
        <is>
          <t>Calculado</t>
        </is>
      </c>
      <c r="D16" s="73" t="inlineStr">
        <is>
          <t>887,3 − 295,8 + 231,1 = R$822,6mm. EBIT = Resultado antes do Resultado Financeiro (IFRS).</t>
        </is>
      </c>
      <c r="E16" s="73" t="inlineStr">
        <is>
          <t>Yduqs_ITR_1T26.pdf pg.13; DFP 4T25 pg.19</t>
        </is>
      </c>
      <c r="F16" s="73" t="inlineStr">
        <is>
          <t>31/03/2026; 31/12/2025</t>
        </is>
      </c>
    </row>
    <row r="17">
      <c r="A17" s="73" t="inlineStr">
        <is>
          <t>Yduqs</t>
        </is>
      </c>
      <c r="B17" s="73" t="inlineStr">
        <is>
          <t>D&amp;A LTM</t>
        </is>
      </c>
      <c r="C17" s="73" t="inlineStr">
        <is>
          <t>Calculado</t>
        </is>
      </c>
      <c r="D17" s="73" t="inlineStr">
        <is>
          <t>815,6 − 207,4 + 196,6 = R$804,8mm. Inclui amortização de ROU (IFRS16) e mais-valia/ágio. FY2025 via cash flow DFP. Hierarquia: (3) calculado.</t>
        </is>
      </c>
      <c r="E17" s="73" t="inlineStr">
        <is>
          <t>Yduqs_ITR_1T26.pdf pg.15; DFP 4T25 pg.21</t>
        </is>
      </c>
      <c r="F17" s="73" t="inlineStr">
        <is>
          <t>31/03/2026; 31/12/2025</t>
        </is>
      </c>
    </row>
    <row r="18">
      <c r="A18" s="73" t="inlineStr">
        <is>
          <t>Yduqs</t>
        </is>
      </c>
      <c r="B18" s="73" t="inlineStr">
        <is>
          <t>EBITDA LTM (col V)</t>
        </is>
      </c>
      <c r="C18" s="73" t="inlineStr">
        <is>
          <t>Calculado</t>
        </is>
      </c>
      <c r="D18" s="73" t="inlineStr">
        <is>
          <t>EBITDA (fórmula) = EBIT+D&amp;A = R$1.627,4mm. Release: EBITDA Ajustado LTM = R$1.864,6mm (ajustado e com IFRS16); EBITDA Ajustado ex-IFRS16 LTM = R$1.864,6mm (ex-IFRS16). Discrepância: fórmula inclui não-recorrentes negativos de R$76,4mm no 1T26 (venda imóvel contábil). Hierarquia: (3).</t>
        </is>
      </c>
      <c r="E18" s="73" t="inlineStr">
        <is>
          <t>Yduqs_Release_1T26.pdf pg.20,30</t>
        </is>
      </c>
      <c r="F18" s="73" t="inlineStr">
        <is>
          <t>07/05/2026</t>
        </is>
      </c>
    </row>
    <row r="19">
      <c r="A19" s="73" t="inlineStr">
        <is>
          <t>Yduqs</t>
        </is>
      </c>
      <c r="B19" s="73" t="inlineStr">
        <is>
          <t>Desp. Financ. Bruta LTM</t>
        </is>
      </c>
      <c r="C19" s="73" t="inlineStr">
        <is>
          <t>Calculado</t>
        </is>
      </c>
      <c r="D19" s="73" t="inlineStr">
        <is>
          <t>Excluída despesa IFRS16 arrendamento. LTM = (1.139,5−174,8)−(300,9−43,5)+(274,2−44,5) = R$937,0mm. ITR usa DRE IFRS (difere do release, que exclui efeito swap e outras reclassificações).</t>
        </is>
      </c>
      <c r="E19" s="73" t="inlineStr">
        <is>
          <t>Yduqs_ITR_1T26.pdf pg.13,15; DFP 4T25 pg.19,21</t>
        </is>
      </c>
      <c r="F19" s="73" t="inlineStr">
        <is>
          <t>31/03/2026; 31/12/2025</t>
        </is>
      </c>
    </row>
    <row r="20">
      <c r="A20" s="73" t="inlineStr">
        <is>
          <t>Yduqs</t>
        </is>
      </c>
      <c r="B20" s="73" t="inlineStr">
        <is>
          <t>Rec. Financeira LTM</t>
        </is>
      </c>
      <c r="C20" s="73" t="inlineStr">
        <is>
          <t>Calculado</t>
        </is>
      </c>
      <c r="D20" s="73" t="inlineStr">
        <is>
          <t>391,7 − 113,1 + 94,0 = R$372,6mm (via DRE IFRS). Inclui multas/juros recebidos, aplicações e atualização monetária. FY2025 alto (R$391,7mm) reflete SELIC elevada e caixa médio ~R$1,5bi.</t>
        </is>
      </c>
      <c r="E20" s="73" t="inlineStr">
        <is>
          <t>Yduqs_ITR_1T26.pdf pg.13; DFP 4T25 pg.19</t>
        </is>
      </c>
      <c r="F20" s="73" t="inlineStr">
        <is>
          <t>31/03/2026; 31/12/2025</t>
        </is>
      </c>
    </row>
    <row r="21">
      <c r="A21" s="73" t="inlineStr">
        <is>
          <t>Yduqs</t>
        </is>
      </c>
      <c r="B21" s="73" t="inlineStr">
        <is>
          <t>Capex LTM</t>
        </is>
      </c>
      <c r="C21" s="73" t="inlineStr">
        <is>
          <t>Calculado</t>
        </is>
      </c>
      <c r="D21" s="73" t="inlineStr">
        <is>
          <t>461,0 − 114,3 + 113,6 = R$460,3mm. FY2025 Capex via release pág.29. 1T25/1T26 via release pág.26. Excluído M&amp;A (Unifametro R$75,5mm).</t>
        </is>
      </c>
      <c r="E21" s="73" t="inlineStr">
        <is>
          <t>Yduqs_Release_1T26.pdf pg.26,29</t>
        </is>
      </c>
      <c r="F21" s="73" t="inlineStr">
        <is>
          <t>07/05/2026</t>
        </is>
      </c>
    </row>
    <row r="22">
      <c r="A22" s="73" t="inlineStr">
        <is>
          <t>Yduqs</t>
        </is>
      </c>
      <c r="B22" s="73" t="inlineStr">
        <is>
          <t>Outros Passivos Fin. LP</t>
        </is>
      </c>
      <c r="C22" s="73" t="inlineStr">
        <is>
          <t>Não disponível</t>
        </is>
      </c>
      <c r="D22" s="73" t="inlineStr">
        <is>
          <t>M&amp;A payables LP (R$112,9mm = Preço de Aquisição a Pagar LP) e Passivo Financeiro-Opções LP (R$7,9mm) não mapeados em Outros Passivos Fin. — não são CRA/CRI/FIDC. Release inclui 'Compromissos a pagar M&amp;A' (R$162,5mm) na Dívida Bruta mas omitidos da planilha por falta de coluna adequada.</t>
        </is>
      </c>
      <c r="E22" s="73" t="inlineStr">
        <is>
          <t>Yduqs_ITR_1T26.pdf Balanço pg.11-12; Yduqs_Release_1T26.pdf pg.30</t>
        </is>
      </c>
      <c r="F22" s="73" t="inlineStr">
        <is>
          <t>31/03/2026; 07/05/2026</t>
        </is>
      </c>
    </row>
    <row r="23">
      <c r="A23" s="73" t="inlineStr">
        <is>
          <t>Yduqs</t>
        </is>
      </c>
      <c r="B23" s="73" t="inlineStr">
        <is>
          <t>Cronograma — Saldos/Datas</t>
        </is>
      </c>
      <c r="C23" s="73" t="inlineStr">
        <is>
          <t>Estimado</t>
        </is>
      </c>
      <c r="D23" s="73" t="inlineStr">
        <is>
          <t>Saldos e datas de vencimento estimados por pro-rata e prazo médio divulgados no release pág.30. Saldos exatos por instrumento e datas finais requerem Nota Explicativa 12 do ITR. Datas emissão não disponíveis no release.</t>
        </is>
      </c>
      <c r="E23" s="73" t="inlineStr">
        <is>
          <t>Yduqs_Release_1T26.pdf pg.30</t>
        </is>
      </c>
      <c r="F23" s="73" t="inlineStr">
        <is>
          <t>07/05/2026</t>
        </is>
      </c>
    </row>
    <row r="24">
      <c r="A24" s="73" t="inlineStr">
        <is>
          <t>Yduqs</t>
        </is>
      </c>
      <c r="B24" s="73" t="inlineStr">
        <is>
          <t>Covenants</t>
        </is>
      </c>
      <c r="C24" s="73" t="inlineStr">
        <is>
          <t>Não disponível</t>
        </is>
      </c>
      <c r="D24" s="73" t="inlineStr">
        <is>
          <t>Limites de covenants financeiros não identificados nos documentos disponíveis (release e ITR). Requer leitura da Nota Explicativa de Dívida no ITR 1T26.</t>
        </is>
      </c>
      <c r="E24" s="73" t="inlineStr">
        <is>
          <t>Yduqs_ITR_1T26.pdf Nota 12 (pg.61+)</t>
        </is>
      </c>
      <c r="F24" s="73" t="inlineStr">
        <is>
          <t>31/03/2026</t>
        </is>
      </c>
    </row>
    <row r="25">
      <c r="A25" s="73" t="inlineStr">
        <is>
          <t>Afya</t>
        </is>
      </c>
      <c r="B25" s="73" t="inlineStr">
        <is>
          <t>Período / LTM</t>
        </is>
      </c>
      <c r="C25" s="73" t="inlineStr">
        <is>
          <t>Calculado</t>
        </is>
      </c>
      <c r="D25" s="73" t="inlineStr">
        <is>
          <t>LTM = FY2025 (4Q25 press release 12/03/2026) − 1Q25 + 1Q26 (press release 07/05/2026). Valores em R$ mil, convertidos para mm.</t>
        </is>
      </c>
      <c r="E25" s="73" t="inlineStr">
        <is>
          <t>Afya_Release_1T26.pdf; Afya Limited...FY2025 Results.pdf</t>
        </is>
      </c>
      <c r="F25" s="73" t="inlineStr">
        <is>
          <t>07/05/2026; 12/03/2026</t>
        </is>
      </c>
    </row>
    <row r="26">
      <c r="A26" s="73" t="inlineStr">
        <is>
          <t>Afya</t>
        </is>
      </c>
      <c r="B26" s="73" t="inlineStr">
        <is>
          <t>Receita Líquida LTM</t>
        </is>
      </c>
      <c r="C26" s="73" t="inlineStr">
        <is>
          <t>Calculado</t>
        </is>
      </c>
      <c r="D26" s="73" t="inlineStr">
        <is>
          <t>3.697,3 − 936,4 + 1.012,7 = R$3.773,6mm. Receita total reportada (IFRS), excl. intercompany.</t>
        </is>
      </c>
      <c r="E26" s="73" t="inlineStr">
        <is>
          <t>Afya_Release_1T26.pdf Table 6; FY2025 Results Table 6</t>
        </is>
      </c>
      <c r="F26" s="73" t="inlineStr">
        <is>
          <t>07/05/2026; 12/03/2026</t>
        </is>
      </c>
    </row>
    <row r="27">
      <c r="A27" s="73" t="inlineStr">
        <is>
          <t>Afya</t>
        </is>
      </c>
      <c r="B27" s="73" t="inlineStr">
        <is>
          <t>EBIT LTM</t>
        </is>
      </c>
      <c r="C27" s="73" t="inlineStr">
        <is>
          <t>Calculado</t>
        </is>
      </c>
      <c r="D27" s="73" t="inlineStr">
        <is>
          <t>1.213,1 − 372,5 + 393,6 = R$1.234,2mm. EBIT = 'Operating income' do DRE IFRS. FY2025 derivado: Net income + Taxes + Net fin result − Share of associate = R$1.213,1mm.</t>
        </is>
      </c>
      <c r="E27" s="73" t="inlineStr">
        <is>
          <t>Afya_Release_1T26.pdf pg.13; FY2025 Table 7</t>
        </is>
      </c>
      <c r="F27" s="73" t="inlineStr">
        <is>
          <t>07/05/2026; 12/03/2026</t>
        </is>
      </c>
    </row>
    <row r="28">
      <c r="A28" s="73" t="inlineStr">
        <is>
          <t>Afya</t>
        </is>
      </c>
      <c r="B28" s="73" t="inlineStr">
        <is>
          <t>D&amp;A LTM</t>
        </is>
      </c>
      <c r="C28" s="73" t="inlineStr">
        <is>
          <t>Calculado</t>
        </is>
      </c>
      <c r="D28" s="73" t="inlineStr">
        <is>
          <t>373,3 − 91,8 + 93,1 = R$374,6mm. Inclui amortização de ROU (IFRS16). Hierarquia: (3) calculado via EBITDA reconciliation Table 7.</t>
        </is>
      </c>
      <c r="E28" s="73" t="inlineStr">
        <is>
          <t>Afya_Release_1T26.pdf pg.7; FY2025 Table 7</t>
        </is>
      </c>
      <c r="F28" s="73" t="inlineStr">
        <is>
          <t>07/05/2026; 12/03/2026</t>
        </is>
      </c>
    </row>
    <row r="29">
      <c r="A29" s="73" t="inlineStr">
        <is>
          <t>Afya</t>
        </is>
      </c>
      <c r="B29" s="73" t="inlineStr">
        <is>
          <t>Desp. Financ. Bruta / Rec. Fin. LTM</t>
        </is>
      </c>
      <c r="C29" s="73" t="inlineStr">
        <is>
          <t>Não disponível</t>
        </is>
      </c>
      <c r="D29" s="73" t="inlineStr">
        <is>
          <t>Receitas e Despesas Financeiras FY2025 não disponíveis de forma separada no press release anual (apenas resultado financeiro líquido = R$366,1mm é divulgado). Requer Form 20-F (SEC) ou demonstração de resultado completa. Campos deixados em branco.</t>
        </is>
      </c>
      <c r="E29" s="73" t="inlineStr">
        <is>
          <t>Afya Limited...FY2025 Results.pdf Table 7</t>
        </is>
      </c>
      <c r="F29" s="73" t="inlineStr">
        <is>
          <t>12/03/2026</t>
        </is>
      </c>
    </row>
    <row r="30">
      <c r="A30" s="73" t="inlineStr">
        <is>
          <t>Afya</t>
        </is>
      </c>
      <c r="B30" s="73" t="inlineStr">
        <is>
          <t>Capex LTM</t>
        </is>
      </c>
      <c r="C30" s="73" t="inlineStr">
        <is>
          <t>Calculado</t>
        </is>
      </c>
      <c r="D30" s="73" t="inlineStr">
        <is>
          <t>304,4 − 56,2 + 44,8 = R$293,0mm. FY2025 Capex total = R$404mm; excluída licença FUNIC (R$99,6mm = M&amp;A per Rule Capex). 1Q25/1Q26 via Table 12 do press release.</t>
        </is>
      </c>
      <c r="E30" s="73" t="inlineStr">
        <is>
          <t>Afya_Release_1T26.pdf Table 12; FY2025 Results Table 12</t>
        </is>
      </c>
      <c r="F30" s="73" t="inlineStr">
        <is>
          <t>07/05/2026; 12/03/2026</t>
        </is>
      </c>
    </row>
    <row r="31">
      <c r="A31" s="73" t="inlineStr">
        <is>
          <t>Afya</t>
        </is>
      </c>
      <c r="B31" s="73" t="inlineStr">
        <is>
          <t>Caixa e Aplicações CP</t>
        </is>
      </c>
      <c r="C31" s="73" t="inlineStr">
        <is>
          <t>Nota</t>
        </is>
      </c>
      <c r="D31" s="73" t="inlineStr">
        <is>
          <t>Cash and Cash Equivalents inclui Cash Equivalents = R$1.307mm (fundos de alta liquidez). Não há linha separada de 'Aplicações Financeiras CP' no balanço do press release.</t>
        </is>
      </c>
      <c r="E31" s="73" t="inlineStr">
        <is>
          <t>Afya_Release_1T26.pdf Table 11 pg.12</t>
        </is>
      </c>
      <c r="F31" s="73" t="inlineStr">
        <is>
          <t>07/05/2026</t>
        </is>
      </c>
    </row>
    <row r="32">
      <c r="A32" s="73" t="inlineStr">
        <is>
          <t>Afya</t>
        </is>
      </c>
      <c r="B32" s="73" t="inlineStr">
        <is>
          <t>Outros Passivos Fin.</t>
        </is>
      </c>
      <c r="C32" s="73" t="inlineStr">
        <is>
          <t>Ajustado</t>
        </is>
      </c>
      <c r="D32" s="73" t="inlineStr">
        <is>
          <t>'Accounts payable to selling shareholders' (total R$359,7mm) incluído em Outros Passivos Fin. conforme a própria empresa inclui na Dívida Bruta (Table 10). Não é CRA/CRI/FIDC mas é passivo financeiro oneroso (CDI 100%).</t>
        </is>
      </c>
      <c r="E32" s="73" t="inlineStr">
        <is>
          <t>Afya_Release_1T26.pdf Table 10-11 pg.8,12</t>
        </is>
      </c>
      <c r="F32" s="73" t="inlineStr">
        <is>
          <t>07/05/2026</t>
        </is>
      </c>
    </row>
    <row r="33">
      <c r="A33" s="73" t="inlineStr">
        <is>
          <t>Afya</t>
        </is>
      </c>
      <c r="B33" s="73" t="inlineStr">
        <is>
          <t>Wall of Maturities</t>
        </is>
      </c>
      <c r="C33" s="73" t="inlineStr">
        <is>
          <t>Estimado</t>
        </is>
      </c>
      <c r="D33" s="73" t="inlineStr">
        <is>
          <t>Amortização IFC estimada com base em duration 2,8 anos e balance R$530mm (parcelas anuais ~R$132mm). Datas exatas requerem Nota Explicativa do DF 1Q26.</t>
        </is>
      </c>
      <c r="E33" s="73" t="inlineStr">
        <is>
          <t>Afya_Release_1T26.pdf Table 10</t>
        </is>
      </c>
      <c r="F33" s="73" t="inlineStr">
        <is>
          <t>07/05/2026</t>
        </is>
      </c>
    </row>
    <row r="34">
      <c r="A34" s="73" t="inlineStr">
        <is>
          <t>Afya</t>
        </is>
      </c>
      <c r="B34" s="73" t="inlineStr">
        <is>
          <t>Cronograma — IFC</t>
        </is>
      </c>
      <c r="C34" s="73" t="inlineStr">
        <is>
          <t>Estimado</t>
        </is>
      </c>
      <c r="D34" s="73" t="inlineStr">
        <is>
          <t>Data de emissão IFC e datas de amortização: estimadas. Moeda original USD (convertida BRL pelo câmbio do balanço). SOFR+spread: custo total = 15,8% aa em 1Q26 (CDI+108%).</t>
        </is>
      </c>
      <c r="E34" s="73" t="inlineStr">
        <is>
          <t>Afya_Release_1T26.pdf Table 10</t>
        </is>
      </c>
      <c r="F34" s="73" t="inlineStr">
        <is>
          <t>07/05/2026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18" customWidth="1" min="5" max="5"/>
    <col width="60" customWidth="1" min="6" max="6"/>
    <col width="45" customWidth="1" min="7" max="7"/>
    <col width="10" customWidth="1" min="8" max="8"/>
    <col width="35" customWidth="1" min="9" max="9"/>
  </cols>
  <sheetData>
    <row r="1">
      <c r="A1" s="77" t="inlineStr">
        <is>
          <t>Empresa</t>
        </is>
      </c>
      <c r="B1" s="77" t="inlineStr">
        <is>
          <t>Setor</t>
        </is>
      </c>
      <c r="C1" s="77" t="inlineStr">
        <is>
          <t>Tipo de Oportunidade</t>
        </is>
      </c>
      <c r="D1" s="77" t="inlineStr">
        <is>
          <t>Instrumento Sugerido</t>
        </is>
      </c>
      <c r="E1" s="77" t="inlineStr">
        <is>
          <t>Tamanho Estimado</t>
        </is>
      </c>
      <c r="F1" s="77" t="inlineStr">
        <is>
          <t>Racional</t>
        </is>
      </c>
      <c r="G1" s="77" t="inlineStr">
        <is>
          <t>Estrutura Sugerida</t>
        </is>
      </c>
      <c r="H1" s="77" t="inlineStr">
        <is>
          <t>Prioridade</t>
        </is>
      </c>
      <c r="I1" s="77" t="inlineStr">
        <is>
          <t>Timing</t>
        </is>
      </c>
    </row>
    <row r="2">
      <c r="A2" s="73" t="inlineStr">
        <is>
          <t>Ânima</t>
        </is>
      </c>
      <c r="B2" s="73" t="inlineStr">
        <is>
          <t>Educação</t>
        </is>
      </c>
      <c r="C2" s="73" t="inlineStr">
        <is>
          <t>Refinanciamento Preventivo</t>
        </is>
      </c>
      <c r="D2" s="73" t="inlineStr">
        <is>
          <t>Debêntures CDI+ 5-7 anos</t>
        </is>
      </c>
      <c r="E2" s="73" t="inlineStr">
        <is>
          <t>R$ 1.600–1.800mm</t>
        </is>
      </c>
      <c r="F2" s="73" t="inlineStr">
        <is>
          <t>Wall de vencimentos em 2027 representa R$1.625mm (36% da dívida total): Debs 4ª Série 1 (R$597mm bullet dez/2027) + Banco ABC (R$104mm set/2027) + parcelas BB. DL/EBITDA de 2,39x oferece headroom confortável para nova emissão a custo competitivo.</t>
        </is>
      </c>
      <c r="G2" s="73" t="inlineStr">
        <is>
          <t>Debêntures CDI+ em 5-7 anos com amortização anual a partir do ano 3. Possível estrutura IPCA+ para tranche de prazo mais longo (7+ anos) se condições de mercado permitirem.</t>
        </is>
      </c>
      <c r="H2" s="73" t="inlineStr">
        <is>
          <t>Alta</t>
        </is>
      </c>
      <c r="I2" s="73" t="inlineStr">
        <is>
          <t>2H26 — emissão preferencial antes de set/2026 para evitar sazonalidade negativa do 2T</t>
        </is>
      </c>
    </row>
    <row r="3">
      <c r="A3" s="73" t="inlineStr">
        <is>
          <t>Ânima</t>
        </is>
      </c>
      <c r="B3" s="73" t="inlineStr">
        <is>
          <t>Educação</t>
        </is>
      </c>
      <c r="C3" s="73" t="inlineStr">
        <is>
          <t>Emissão Incremental / M&amp;A</t>
        </is>
      </c>
      <c r="D3" s="73" t="inlineStr">
        <is>
          <t>Debêntures Inspirali CDI+ ou IPCA+</t>
        </is>
      </c>
      <c r="E3" s="73" t="inlineStr">
        <is>
          <t>R$ 500–800mm</t>
        </is>
      </c>
      <c r="F3" s="73" t="inlineStr">
        <is>
          <t>Inspirali (medicina) tem perfil de crédito superior: margem operacional de 52,8% e crescimento de receita de 9,8% em 2025. Emissão segregada captura prêmio de crédito mais favorável vs. holding. Potencial de elegibilidade como infraestrutura educacional médica (Lei 12.431) para cursos de medicina.</t>
        </is>
      </c>
      <c r="G3" s="73" t="inlineStr">
        <is>
          <t>Debêntures Inspirali com covenant específico ≤3,5x DL/EBITDA; possível estruturação como IPCA+ via Lei 12.431 caso aprovação regulatória. Garantia da holding Ânima como credit support.</t>
        </is>
      </c>
      <c r="H3" s="73" t="inlineStr">
        <is>
          <t>Média</t>
        </is>
      </c>
      <c r="I3" s="73" t="inlineStr">
        <is>
          <t>1H27 — após estabilização regulatória do Novo Marco Regulatório do EAD</t>
        </is>
      </c>
    </row>
    <row r="4">
      <c r="A4" s="73" t="inlineStr">
        <is>
          <t>Yduqs</t>
        </is>
      </c>
      <c r="B4" s="73" t="inlineStr">
        <is>
          <t>Educação</t>
        </is>
      </c>
      <c r="C4" s="73" t="inlineStr">
        <is>
          <t>Pré-Refinanciamento</t>
        </is>
      </c>
      <c r="D4" s="73" t="inlineStr">
        <is>
          <t>Debêntures CDI+ 5-7 anos</t>
        </is>
      </c>
      <c r="E4" s="73" t="inlineStr">
        <is>
          <t>R$ 988–1.200mm</t>
        </is>
      </c>
      <c r="F4" s="73" t="inlineStr">
        <is>
          <t>Wall concentrada em 2028 (R$988mm de Debs IX séries 1 e 2 + parcela Debs X): R$1.500mm+ vencendo em 2028. Aproveitamento de alavancagem muito baixa (1,53x) e FCO robusto (R$457,9mm no 1T26) para alongar perfil a custo favorável. Guidance FCA de R$520-620mm em 2026 sinaliza forte geração de caixa estrutural.</t>
        </is>
      </c>
      <c r="G4" s="73" t="inlineStr">
        <is>
          <t>Debêntures CDI+ em 5-7 anos com amortização anual a partir do ano 3. Possível estrutura em duas tranches: Série 1 (CDI+) para varejo e Série 2 (IPCA+) para investidores institucionais de prazo longo.</t>
        </is>
      </c>
      <c r="H4" s="73" t="inlineStr">
        <is>
          <t>Alta</t>
        </is>
      </c>
      <c r="I4" s="73" t="inlineStr">
        <is>
          <t>2H26 — antes de eventual estresse de mercado e aproveitando janela pós-ciclo de alta Selic</t>
        </is>
      </c>
    </row>
    <row r="5">
      <c r="A5" s="73" t="inlineStr">
        <is>
          <t>Yduqs</t>
        </is>
      </c>
      <c r="B5" s="73" t="inlineStr">
        <is>
          <t>Educação</t>
        </is>
      </c>
      <c r="C5" s="73" t="inlineStr">
        <is>
          <t>Crescimento Premium</t>
        </is>
      </c>
      <c r="D5" s="73" t="inlineStr">
        <is>
          <t>Debêntures IPCA+ (Lei 12.431)</t>
        </is>
      </c>
      <c r="E5" s="73" t="inlineStr">
        <is>
          <t>R$ 500–700mm</t>
        </is>
      </c>
      <c r="F5" s="73" t="inlineStr">
        <is>
          <t>IDOMED (medicina) crescendo 10% em ROL e 8% em EBITDA. Ibmec crescendo 23% em ROL e 34% em EBITDA. Expansão em campi médicos/negócios de alta qualidade pode ser financiada por debêntures de infraestrutura se classificada como infraestrutura educacional (medicina). Baixa alavancagem permite incremento de ~R$700mm sem violar covenants típicos de 3,0x.</t>
        </is>
      </c>
      <c r="G5" s="73" t="inlineStr">
        <is>
          <t>Debêntures Lei 12.431 (IPCA+ isento IR para PF) se elegíveis; ou CDI+ em SFN com garantia fiduciária das marcas/receitas Ibmec/IDOMED. Avaliação de elegibilidade regulatória necessária.</t>
        </is>
      </c>
      <c r="H5" s="73" t="inlineStr">
        <is>
          <t>Média</t>
        </is>
      </c>
      <c r="I5" s="73" t="inlineStr">
        <is>
          <t>2026-2027 — pós aprovação de novos campi e/ou M&amp;A adicional</t>
        </is>
      </c>
    </row>
    <row r="6">
      <c r="A6" s="73" t="inlineStr">
        <is>
          <t>Afya</t>
        </is>
      </c>
      <c r="B6" s="73" t="inlineStr">
        <is>
          <t>Educação</t>
        </is>
      </c>
      <c r="C6" s="73" t="inlineStr">
        <is>
          <t>Refinanciamento IFC / Diversificação</t>
        </is>
      </c>
      <c r="D6" s="73" t="inlineStr">
        <is>
          <t>Debêntures CDI+ ou IPCA+ 5-7 anos</t>
        </is>
      </c>
      <c r="E6" s="73" t="inlineStr">
        <is>
          <t>R$ 500–700mm</t>
        </is>
      </c>
      <c r="F6" s="73" t="inlineStr">
        <is>
          <t>IFC (R$530mm) com amortização trimestral e custo 108% do CDI (~15,8% aa) é o instrumento mais caro da estrutura. Refinanciamento via debêntures locais reduziria spread e alongaria perfil. DL/EBITDA de 0,7x (headroom excepcional vs covenant 3,0x) permite emissão incremental se necessário.</t>
        </is>
      </c>
      <c r="G6" s="73" t="inlineStr">
        <is>
          <t>Debêntures CDI+ em 5-6 anos com amortização anual a partir do ano 3 (similar às Notas Comerciais existentes). Possível estrutura IPCA+ se Afya qualificar como infraestrutura educacional médica (3.768 vagas de medicina = argumento para Lei 12.431).</t>
        </is>
      </c>
      <c r="H6" s="73" t="inlineStr">
        <is>
          <t>Média</t>
        </is>
      </c>
      <c r="I6" s="73" t="inlineStr">
        <is>
          <t>2026-2027 — quando IFC amortizar parcialmente e janela de mercado permitir</t>
        </is>
      </c>
    </row>
    <row r="7">
      <c r="A7" s="73" t="inlineStr">
        <is>
          <t>Afya</t>
        </is>
      </c>
      <c r="B7" s="73" t="inlineStr">
        <is>
          <t>Educação</t>
        </is>
      </c>
      <c r="C7" s="73" t="inlineStr">
        <is>
          <t>Expansão M&amp;A</t>
        </is>
      </c>
      <c r="D7" s="73" t="inlineStr">
        <is>
          <t>Debêntures CDI+ Incrementais</t>
        </is>
      </c>
      <c r="E7" s="73" t="inlineStr">
        <is>
          <t>R$ 800–1.200mm</t>
        </is>
      </c>
      <c r="F7" s="73" t="inlineStr">
        <is>
          <t>Afya executa consistente ciclo de M&amp;A (FUNIC 2025, UNIDOM 2024, FIP Guanambi 2024). Com FCF de R$1.056mm em 2025 e guidance 2026 de R$1.700-1.800mm EBITDA, há espaço para leverage adicional de até 2x (DL de ~R$3.400mm) vs atual R$1.151mm. Nova captação financiaria aquisições de vagas médicas a prêmio regulatório.</t>
        </is>
      </c>
      <c r="G7" s="73" t="inlineStr">
        <is>
          <t>Debêntures incrementais CDI+ para aquisição de escolas de medicina com vagas MEC (escassas e com deságio natural para compradores). Estrutura de holding (Afya Brazil) com garantias das subsidiárias operacionais.</t>
        </is>
      </c>
      <c r="H7" s="73" t="inlineStr">
        <is>
          <t>Alta</t>
        </is>
      </c>
      <c r="I7" s="73" t="inlineStr">
        <is>
          <t>2H26-1H27 — após conclusão do ciclo de integração FUNIC e aprovação de novas vagas MEC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2026-05-12T12:55:06Z</dcterms:created>
  <dcterms:modified xsi:type="dcterms:W3CDTF">2026-05-14T22:15:49Z</dcterms:modified>
  <cp:lastModifiedBy>Joao Pedro Boclin Camara e Silva</cp:lastModifiedBy>
  <cp:revision>0</cp:revision>
</cp:coreProperties>
</file>