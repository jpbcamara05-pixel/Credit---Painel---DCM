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aopedrocamara/Documents/VS/Credit Study/"/>
    </mc:Choice>
  </mc:AlternateContent>
  <xr:revisionPtr revIDLastSave="0" documentId="8_{11EA75CA-6290-9A46-B715-130A95140CE1}" xr6:coauthVersionLast="47" xr6:coauthVersionMax="47" xr10:uidLastSave="{00000000-0000-0000-0000-000000000000}"/>
  <bookViews>
    <workbookView xWindow="0" yWindow="740" windowWidth="29400" windowHeight="18380" tabRatio="500" activeTab="2" xr2:uid="{00000000-000D-0000-FFFF-FFFF00000000}"/>
  </bookViews>
  <sheets>
    <sheet name="Painel de Crédito" sheetId="1" r:id="rId1"/>
    <sheet name="Inputs — DFs" sheetId="2" r:id="rId2"/>
    <sheet name="Cronograma de Amortização" sheetId="3" r:id="rId3"/>
    <sheet name="Wall of Maturities" sheetId="4" r:id="rId4"/>
    <sheet name="Covenants &amp; Capex" sheetId="5" r:id="rId5"/>
    <sheet name="Fontes — RI" sheetId="6" r:id="rId6"/>
    <sheet name="Notas Metodológica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49" i="4" l="1"/>
  <c r="M49" i="4"/>
  <c r="L49" i="4"/>
  <c r="K49" i="4"/>
  <c r="J49" i="4"/>
  <c r="I49" i="4"/>
  <c r="H49" i="4"/>
  <c r="G49" i="4"/>
  <c r="F49" i="4"/>
  <c r="E49" i="4"/>
  <c r="D49" i="4"/>
  <c r="C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49" i="4" s="1"/>
  <c r="R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AA51" i="2"/>
  <c r="AB51" i="2" s="1"/>
  <c r="Y51" i="2"/>
  <c r="I50" i="1" s="1"/>
  <c r="V51" i="2"/>
  <c r="G50" i="1" s="1"/>
  <c r="H50" i="1" s="1"/>
  <c r="U51" i="2"/>
  <c r="T51" i="2"/>
  <c r="S51" i="2"/>
  <c r="R51" i="2"/>
  <c r="Q51" i="2"/>
  <c r="Z51" i="2" s="1"/>
  <c r="L50" i="1" s="1"/>
  <c r="AA50" i="2"/>
  <c r="AB50" i="2" s="1"/>
  <c r="Z50" i="2"/>
  <c r="L49" i="1" s="1"/>
  <c r="Y50" i="2"/>
  <c r="I49" i="1" s="1"/>
  <c r="X50" i="2"/>
  <c r="W50" i="2"/>
  <c r="V50" i="2"/>
  <c r="G49" i="1" s="1"/>
  <c r="H49" i="1" s="1"/>
  <c r="U50" i="2"/>
  <c r="S50" i="2"/>
  <c r="R50" i="2"/>
  <c r="Q50" i="2"/>
  <c r="T50" i="2" s="1"/>
  <c r="AA49" i="2"/>
  <c r="AB49" i="2" s="1"/>
  <c r="Z49" i="2"/>
  <c r="Y49" i="2"/>
  <c r="I48" i="1" s="1"/>
  <c r="X49" i="2"/>
  <c r="W49" i="2"/>
  <c r="V49" i="2"/>
  <c r="S49" i="2"/>
  <c r="E48" i="1" s="1"/>
  <c r="R49" i="2"/>
  <c r="U49" i="2" s="1"/>
  <c r="Q49" i="2"/>
  <c r="AA48" i="2"/>
  <c r="M47" i="1" s="1"/>
  <c r="N47" i="1" s="1"/>
  <c r="Z48" i="2"/>
  <c r="Y48" i="2"/>
  <c r="X48" i="2"/>
  <c r="W48" i="2"/>
  <c r="V48" i="2"/>
  <c r="S48" i="2"/>
  <c r="E47" i="1" s="1"/>
  <c r="R48" i="2"/>
  <c r="U48" i="2" s="1"/>
  <c r="Q48" i="2"/>
  <c r="D47" i="1" s="1"/>
  <c r="F47" i="1" s="1"/>
  <c r="AB47" i="2"/>
  <c r="AA47" i="2"/>
  <c r="Y47" i="2"/>
  <c r="V47" i="2"/>
  <c r="U47" i="2"/>
  <c r="T47" i="2"/>
  <c r="S47" i="2"/>
  <c r="E46" i="1" s="1"/>
  <c r="R47" i="2"/>
  <c r="Q47" i="2"/>
  <c r="Z47" i="2" s="1"/>
  <c r="AA46" i="2"/>
  <c r="AB46" i="2" s="1"/>
  <c r="Y46" i="2"/>
  <c r="V46" i="2"/>
  <c r="X46" i="2" s="1"/>
  <c r="U46" i="2"/>
  <c r="T46" i="2"/>
  <c r="S46" i="2"/>
  <c r="R46" i="2"/>
  <c r="Q46" i="2"/>
  <c r="Z46" i="2" s="1"/>
  <c r="AA45" i="2"/>
  <c r="AB45" i="2" s="1"/>
  <c r="Z45" i="2"/>
  <c r="L44" i="1" s="1"/>
  <c r="Y45" i="2"/>
  <c r="I44" i="1" s="1"/>
  <c r="W45" i="2"/>
  <c r="V45" i="2"/>
  <c r="G44" i="1" s="1"/>
  <c r="H44" i="1" s="1"/>
  <c r="U45" i="2"/>
  <c r="S45" i="2"/>
  <c r="R45" i="2"/>
  <c r="Q45" i="2"/>
  <c r="T45" i="2" s="1"/>
  <c r="AA44" i="2"/>
  <c r="M43" i="1" s="1"/>
  <c r="N43" i="1" s="1"/>
  <c r="Z44" i="2"/>
  <c r="L43" i="1" s="1"/>
  <c r="Y44" i="2"/>
  <c r="I43" i="1" s="1"/>
  <c r="X44" i="2"/>
  <c r="W44" i="2"/>
  <c r="V44" i="2"/>
  <c r="S44" i="2"/>
  <c r="R44" i="2"/>
  <c r="U44" i="2" s="1"/>
  <c r="Q44" i="2"/>
  <c r="T44" i="2" s="1"/>
  <c r="AA43" i="2"/>
  <c r="M42" i="1" s="1"/>
  <c r="N42" i="1" s="1"/>
  <c r="Z43" i="2"/>
  <c r="L42" i="1" s="1"/>
  <c r="Y43" i="2"/>
  <c r="I42" i="1" s="1"/>
  <c r="X43" i="2"/>
  <c r="W43" i="2"/>
  <c r="V43" i="2"/>
  <c r="S43" i="2"/>
  <c r="R43" i="2"/>
  <c r="U43" i="2" s="1"/>
  <c r="Q43" i="2"/>
  <c r="T43" i="2" s="1"/>
  <c r="AB42" i="2"/>
  <c r="AA42" i="2"/>
  <c r="Y42" i="2"/>
  <c r="V42" i="2"/>
  <c r="U42" i="2"/>
  <c r="T42" i="2"/>
  <c r="S42" i="2"/>
  <c r="R42" i="2"/>
  <c r="Q42" i="2"/>
  <c r="Z42" i="2" s="1"/>
  <c r="L41" i="1" s="1"/>
  <c r="AA41" i="2"/>
  <c r="AB41" i="2" s="1"/>
  <c r="Y41" i="2"/>
  <c r="I40" i="1" s="1"/>
  <c r="V41" i="2"/>
  <c r="G40" i="1" s="1"/>
  <c r="H40" i="1" s="1"/>
  <c r="U41" i="2"/>
  <c r="T41" i="2"/>
  <c r="S41" i="2"/>
  <c r="R41" i="2"/>
  <c r="Q41" i="2"/>
  <c r="Z41" i="2" s="1"/>
  <c r="AA40" i="2"/>
  <c r="AB40" i="2" s="1"/>
  <c r="Z40" i="2"/>
  <c r="L39" i="1" s="1"/>
  <c r="Y40" i="2"/>
  <c r="I39" i="1" s="1"/>
  <c r="X40" i="2"/>
  <c r="W40" i="2"/>
  <c r="V40" i="2"/>
  <c r="G39" i="1" s="1"/>
  <c r="H39" i="1" s="1"/>
  <c r="U40" i="2"/>
  <c r="S40" i="2"/>
  <c r="R40" i="2"/>
  <c r="Q40" i="2"/>
  <c r="T40" i="2" s="1"/>
  <c r="AA39" i="2"/>
  <c r="AB39" i="2" s="1"/>
  <c r="Z39" i="2"/>
  <c r="Y39" i="2"/>
  <c r="X39" i="2"/>
  <c r="W39" i="2"/>
  <c r="V39" i="2"/>
  <c r="S39" i="2"/>
  <c r="E38" i="1" s="1"/>
  <c r="R39" i="2"/>
  <c r="U39" i="2" s="1"/>
  <c r="Q39" i="2"/>
  <c r="AA38" i="2"/>
  <c r="M37" i="1" s="1"/>
  <c r="N37" i="1" s="1"/>
  <c r="Z38" i="2"/>
  <c r="L37" i="1" s="1"/>
  <c r="Y38" i="2"/>
  <c r="X38" i="2"/>
  <c r="W38" i="2"/>
  <c r="V38" i="2"/>
  <c r="S38" i="2"/>
  <c r="E37" i="1" s="1"/>
  <c r="R38" i="2"/>
  <c r="U38" i="2" s="1"/>
  <c r="Q38" i="2"/>
  <c r="D37" i="1" s="1"/>
  <c r="F37" i="1" s="1"/>
  <c r="AB37" i="2"/>
  <c r="AA37" i="2"/>
  <c r="Y37" i="2"/>
  <c r="V37" i="2"/>
  <c r="U37" i="2"/>
  <c r="T37" i="2"/>
  <c r="S37" i="2"/>
  <c r="E36" i="1" s="1"/>
  <c r="R37" i="2"/>
  <c r="Q37" i="2"/>
  <c r="Z37" i="2" s="1"/>
  <c r="AA36" i="2"/>
  <c r="AB36" i="2" s="1"/>
  <c r="Y36" i="2"/>
  <c r="V36" i="2"/>
  <c r="X36" i="2" s="1"/>
  <c r="U36" i="2"/>
  <c r="T36" i="2"/>
  <c r="S36" i="2"/>
  <c r="R36" i="2"/>
  <c r="Q36" i="2"/>
  <c r="Z36" i="2" s="1"/>
  <c r="AA35" i="2"/>
  <c r="AB35" i="2" s="1"/>
  <c r="Z35" i="2"/>
  <c r="L34" i="1" s="1"/>
  <c r="Y35" i="2"/>
  <c r="I34" i="1" s="1"/>
  <c r="W35" i="2"/>
  <c r="V35" i="2"/>
  <c r="G34" i="1" s="1"/>
  <c r="H34" i="1" s="1"/>
  <c r="U35" i="2"/>
  <c r="S35" i="2"/>
  <c r="R35" i="2"/>
  <c r="Q35" i="2"/>
  <c r="T35" i="2" s="1"/>
  <c r="AA34" i="2"/>
  <c r="M33" i="1" s="1"/>
  <c r="N33" i="1" s="1"/>
  <c r="Z34" i="2"/>
  <c r="L33" i="1" s="1"/>
  <c r="Y34" i="2"/>
  <c r="I33" i="1" s="1"/>
  <c r="X34" i="2"/>
  <c r="W34" i="2"/>
  <c r="V34" i="2"/>
  <c r="S34" i="2"/>
  <c r="R34" i="2"/>
  <c r="U34" i="2" s="1"/>
  <c r="Q34" i="2"/>
  <c r="T34" i="2" s="1"/>
  <c r="AA33" i="2"/>
  <c r="M32" i="1" s="1"/>
  <c r="N32" i="1" s="1"/>
  <c r="Z33" i="2"/>
  <c r="L32" i="1" s="1"/>
  <c r="Y33" i="2"/>
  <c r="I32" i="1" s="1"/>
  <c r="X33" i="2"/>
  <c r="W33" i="2"/>
  <c r="V33" i="2"/>
  <c r="S33" i="2"/>
  <c r="R33" i="2"/>
  <c r="U33" i="2" s="1"/>
  <c r="Q33" i="2"/>
  <c r="T33" i="2" s="1"/>
  <c r="AB32" i="2"/>
  <c r="AA32" i="2"/>
  <c r="Y32" i="2"/>
  <c r="V32" i="2"/>
  <c r="U32" i="2"/>
  <c r="T32" i="2"/>
  <c r="S32" i="2"/>
  <c r="R32" i="2"/>
  <c r="Q32" i="2"/>
  <c r="Z32" i="2" s="1"/>
  <c r="L31" i="1" s="1"/>
  <c r="AA31" i="2"/>
  <c r="AB31" i="2" s="1"/>
  <c r="Y31" i="2"/>
  <c r="I30" i="1" s="1"/>
  <c r="V31" i="2"/>
  <c r="G30" i="1" s="1"/>
  <c r="H30" i="1" s="1"/>
  <c r="U31" i="2"/>
  <c r="T31" i="2"/>
  <c r="S31" i="2"/>
  <c r="R31" i="2"/>
  <c r="Q31" i="2"/>
  <c r="Z31" i="2" s="1"/>
  <c r="AA30" i="2"/>
  <c r="AB30" i="2" s="1"/>
  <c r="Z30" i="2"/>
  <c r="L29" i="1" s="1"/>
  <c r="Y30" i="2"/>
  <c r="I29" i="1" s="1"/>
  <c r="X30" i="2"/>
  <c r="W30" i="2"/>
  <c r="V30" i="2"/>
  <c r="G29" i="1" s="1"/>
  <c r="H29" i="1" s="1"/>
  <c r="U30" i="2"/>
  <c r="S30" i="2"/>
  <c r="R30" i="2"/>
  <c r="Q30" i="2"/>
  <c r="T30" i="2" s="1"/>
  <c r="AA29" i="2"/>
  <c r="AB29" i="2" s="1"/>
  <c r="Z29" i="2"/>
  <c r="Y29" i="2"/>
  <c r="X29" i="2"/>
  <c r="W29" i="2"/>
  <c r="V29" i="2"/>
  <c r="S29" i="2"/>
  <c r="E28" i="1" s="1"/>
  <c r="R29" i="2"/>
  <c r="U29" i="2" s="1"/>
  <c r="Q29" i="2"/>
  <c r="AA28" i="2"/>
  <c r="M27" i="1" s="1"/>
  <c r="N27" i="1" s="1"/>
  <c r="Z28" i="2"/>
  <c r="L27" i="1" s="1"/>
  <c r="Y28" i="2"/>
  <c r="X28" i="2"/>
  <c r="W28" i="2"/>
  <c r="V28" i="2"/>
  <c r="S28" i="2"/>
  <c r="E27" i="1" s="1"/>
  <c r="R28" i="2"/>
  <c r="U28" i="2" s="1"/>
  <c r="Q28" i="2"/>
  <c r="D27" i="1" s="1"/>
  <c r="F27" i="1" s="1"/>
  <c r="AB27" i="2"/>
  <c r="AA27" i="2"/>
  <c r="Y27" i="2"/>
  <c r="V27" i="2"/>
  <c r="U27" i="2"/>
  <c r="T27" i="2"/>
  <c r="S27" i="2"/>
  <c r="E26" i="1" s="1"/>
  <c r="R27" i="2"/>
  <c r="Q27" i="2"/>
  <c r="Z27" i="2" s="1"/>
  <c r="AA26" i="2"/>
  <c r="AB26" i="2" s="1"/>
  <c r="Y26" i="2"/>
  <c r="V26" i="2"/>
  <c r="X26" i="2" s="1"/>
  <c r="U26" i="2"/>
  <c r="T26" i="2"/>
  <c r="S26" i="2"/>
  <c r="R26" i="2"/>
  <c r="Q26" i="2"/>
  <c r="Z26" i="2" s="1"/>
  <c r="AA25" i="2"/>
  <c r="AB25" i="2" s="1"/>
  <c r="Z25" i="2"/>
  <c r="L24" i="1" s="1"/>
  <c r="Y25" i="2"/>
  <c r="I24" i="1" s="1"/>
  <c r="V25" i="2"/>
  <c r="G24" i="1" s="1"/>
  <c r="H24" i="1" s="1"/>
  <c r="U25" i="2"/>
  <c r="S25" i="2"/>
  <c r="R25" i="2"/>
  <c r="Q25" i="2"/>
  <c r="T25" i="2" s="1"/>
  <c r="AA24" i="2"/>
  <c r="M23" i="1" s="1"/>
  <c r="N23" i="1" s="1"/>
  <c r="Z24" i="2"/>
  <c r="L23" i="1" s="1"/>
  <c r="Y24" i="2"/>
  <c r="I23" i="1" s="1"/>
  <c r="X24" i="2"/>
  <c r="W24" i="2"/>
  <c r="V24" i="2"/>
  <c r="S24" i="2"/>
  <c r="R24" i="2"/>
  <c r="U24" i="2" s="1"/>
  <c r="Q24" i="2"/>
  <c r="T24" i="2" s="1"/>
  <c r="AA23" i="2"/>
  <c r="M22" i="1" s="1"/>
  <c r="N22" i="1" s="1"/>
  <c r="Z23" i="2"/>
  <c r="L22" i="1" s="1"/>
  <c r="Y23" i="2"/>
  <c r="I22" i="1" s="1"/>
  <c r="X23" i="2"/>
  <c r="W23" i="2"/>
  <c r="V23" i="2"/>
  <c r="S23" i="2"/>
  <c r="R23" i="2"/>
  <c r="U23" i="2" s="1"/>
  <c r="Q23" i="2"/>
  <c r="T23" i="2" s="1"/>
  <c r="AB22" i="2"/>
  <c r="AA22" i="2"/>
  <c r="Y22" i="2"/>
  <c r="V22" i="2"/>
  <c r="U22" i="2"/>
  <c r="T22" i="2"/>
  <c r="S22" i="2"/>
  <c r="R22" i="2"/>
  <c r="Q22" i="2"/>
  <c r="Z22" i="2" s="1"/>
  <c r="L21" i="1" s="1"/>
  <c r="AA21" i="2"/>
  <c r="AB21" i="2" s="1"/>
  <c r="Y21" i="2"/>
  <c r="I20" i="1" s="1"/>
  <c r="V21" i="2"/>
  <c r="G20" i="1" s="1"/>
  <c r="H20" i="1" s="1"/>
  <c r="U21" i="2"/>
  <c r="T21" i="2"/>
  <c r="S21" i="2"/>
  <c r="R21" i="2"/>
  <c r="Q21" i="2"/>
  <c r="Z21" i="2" s="1"/>
  <c r="AA20" i="2"/>
  <c r="AB20" i="2" s="1"/>
  <c r="Z20" i="2"/>
  <c r="L19" i="1" s="1"/>
  <c r="Y20" i="2"/>
  <c r="I19" i="1" s="1"/>
  <c r="V20" i="2"/>
  <c r="G19" i="1" s="1"/>
  <c r="H19" i="1" s="1"/>
  <c r="U20" i="2"/>
  <c r="S20" i="2"/>
  <c r="R20" i="2"/>
  <c r="Q20" i="2"/>
  <c r="T20" i="2" s="1"/>
  <c r="AA19" i="2"/>
  <c r="AB19" i="2" s="1"/>
  <c r="Z19" i="2"/>
  <c r="Y19" i="2"/>
  <c r="X19" i="2"/>
  <c r="W19" i="2"/>
  <c r="V19" i="2"/>
  <c r="S19" i="2"/>
  <c r="E18" i="1" s="1"/>
  <c r="R19" i="2"/>
  <c r="U19" i="2" s="1"/>
  <c r="Q19" i="2"/>
  <c r="AA18" i="2"/>
  <c r="M17" i="1" s="1"/>
  <c r="N17" i="1" s="1"/>
  <c r="Z18" i="2"/>
  <c r="L17" i="1" s="1"/>
  <c r="Y18" i="2"/>
  <c r="X18" i="2"/>
  <c r="W18" i="2"/>
  <c r="V18" i="2"/>
  <c r="S18" i="2"/>
  <c r="E17" i="1" s="1"/>
  <c r="R18" i="2"/>
  <c r="U18" i="2" s="1"/>
  <c r="Q18" i="2"/>
  <c r="D17" i="1" s="1"/>
  <c r="F17" i="1" s="1"/>
  <c r="AB17" i="2"/>
  <c r="AA17" i="2"/>
  <c r="Y17" i="2"/>
  <c r="V17" i="2"/>
  <c r="G16" i="1" s="1"/>
  <c r="H16" i="1" s="1"/>
  <c r="U17" i="2"/>
  <c r="T17" i="2"/>
  <c r="S17" i="2"/>
  <c r="E16" i="1" s="1"/>
  <c r="R17" i="2"/>
  <c r="Q17" i="2"/>
  <c r="Z17" i="2" s="1"/>
  <c r="AA16" i="2"/>
  <c r="AB16" i="2" s="1"/>
  <c r="Y16" i="2"/>
  <c r="V16" i="2"/>
  <c r="G15" i="1" s="1"/>
  <c r="H15" i="1" s="1"/>
  <c r="U16" i="2"/>
  <c r="T16" i="2"/>
  <c r="S16" i="2"/>
  <c r="R16" i="2"/>
  <c r="Q16" i="2"/>
  <c r="Z16" i="2" s="1"/>
  <c r="AA15" i="2"/>
  <c r="AB15" i="2" s="1"/>
  <c r="Z15" i="2"/>
  <c r="L14" i="1" s="1"/>
  <c r="Y15" i="2"/>
  <c r="I14" i="1" s="1"/>
  <c r="V15" i="2"/>
  <c r="G14" i="1" s="1"/>
  <c r="H14" i="1" s="1"/>
  <c r="U15" i="2"/>
  <c r="S15" i="2"/>
  <c r="R15" i="2"/>
  <c r="Q15" i="2"/>
  <c r="T15" i="2" s="1"/>
  <c r="AA14" i="2"/>
  <c r="M13" i="1" s="1"/>
  <c r="N13" i="1" s="1"/>
  <c r="Z14" i="2"/>
  <c r="L13" i="1" s="1"/>
  <c r="Y14" i="2"/>
  <c r="I13" i="1" s="1"/>
  <c r="X14" i="2"/>
  <c r="W14" i="2"/>
  <c r="V14" i="2"/>
  <c r="S14" i="2"/>
  <c r="R14" i="2"/>
  <c r="U14" i="2" s="1"/>
  <c r="Q14" i="2"/>
  <c r="T14" i="2" s="1"/>
  <c r="AA13" i="2"/>
  <c r="M12" i="1" s="1"/>
  <c r="N12" i="1" s="1"/>
  <c r="Z13" i="2"/>
  <c r="L12" i="1" s="1"/>
  <c r="Y13" i="2"/>
  <c r="I12" i="1" s="1"/>
  <c r="X13" i="2"/>
  <c r="W13" i="2"/>
  <c r="V13" i="2"/>
  <c r="S13" i="2"/>
  <c r="R13" i="2"/>
  <c r="U13" i="2" s="1"/>
  <c r="Q13" i="2"/>
  <c r="T13" i="2" s="1"/>
  <c r="AB12" i="2"/>
  <c r="AA12" i="2"/>
  <c r="Y12" i="2"/>
  <c r="V12" i="2"/>
  <c r="U12" i="2"/>
  <c r="T12" i="2"/>
  <c r="S12" i="2"/>
  <c r="R12" i="2"/>
  <c r="Q12" i="2"/>
  <c r="Z12" i="2" s="1"/>
  <c r="L11" i="1" s="1"/>
  <c r="AA11" i="2"/>
  <c r="AB11" i="2" s="1"/>
  <c r="Y11" i="2"/>
  <c r="I10" i="1" s="1"/>
  <c r="V11" i="2"/>
  <c r="G10" i="1" s="1"/>
  <c r="H10" i="1" s="1"/>
  <c r="U11" i="2"/>
  <c r="T11" i="2"/>
  <c r="S11" i="2"/>
  <c r="R11" i="2"/>
  <c r="Q11" i="2"/>
  <c r="Z11" i="2" s="1"/>
  <c r="AA10" i="2"/>
  <c r="AB10" i="2" s="1"/>
  <c r="Z10" i="2"/>
  <c r="Y10" i="2"/>
  <c r="I9" i="1" s="1"/>
  <c r="V10" i="2"/>
  <c r="G9" i="1" s="1"/>
  <c r="H9" i="1" s="1"/>
  <c r="U10" i="2"/>
  <c r="S10" i="2"/>
  <c r="R10" i="2"/>
  <c r="Q10" i="2"/>
  <c r="T10" i="2" s="1"/>
  <c r="AA9" i="2"/>
  <c r="AB9" i="2" s="1"/>
  <c r="Z9" i="2"/>
  <c r="L8" i="1" s="1"/>
  <c r="Y9" i="2"/>
  <c r="X9" i="2"/>
  <c r="W9" i="2"/>
  <c r="V9" i="2"/>
  <c r="S9" i="2"/>
  <c r="E8" i="1" s="1"/>
  <c r="R9" i="2"/>
  <c r="U9" i="2" s="1"/>
  <c r="Q9" i="2"/>
  <c r="AA8" i="2"/>
  <c r="AB8" i="2" s="1"/>
  <c r="Z8" i="2"/>
  <c r="L7" i="1" s="1"/>
  <c r="Y8" i="2"/>
  <c r="X8" i="2"/>
  <c r="W8" i="2"/>
  <c r="V8" i="2"/>
  <c r="S8" i="2"/>
  <c r="E7" i="1" s="1"/>
  <c r="R8" i="2"/>
  <c r="U8" i="2" s="1"/>
  <c r="Q8" i="2"/>
  <c r="AB7" i="2"/>
  <c r="AA7" i="2"/>
  <c r="Y7" i="2"/>
  <c r="V7" i="2"/>
  <c r="U7" i="2"/>
  <c r="T7" i="2"/>
  <c r="S7" i="2"/>
  <c r="E6" i="1" s="1"/>
  <c r="R7" i="2"/>
  <c r="Q7" i="2"/>
  <c r="Z7" i="2" s="1"/>
  <c r="AA6" i="2"/>
  <c r="AB6" i="2" s="1"/>
  <c r="Y6" i="2"/>
  <c r="V6" i="2"/>
  <c r="U6" i="2"/>
  <c r="T6" i="2"/>
  <c r="S6" i="2"/>
  <c r="R6" i="2"/>
  <c r="Q6" i="2"/>
  <c r="Z6" i="2" s="1"/>
  <c r="L5" i="1" s="1"/>
  <c r="M50" i="1"/>
  <c r="N50" i="1" s="1"/>
  <c r="E50" i="1"/>
  <c r="D50" i="1"/>
  <c r="M49" i="1"/>
  <c r="N49" i="1" s="1"/>
  <c r="E49" i="1"/>
  <c r="D49" i="1"/>
  <c r="F49" i="1" s="1"/>
  <c r="M48" i="1"/>
  <c r="N48" i="1" s="1"/>
  <c r="L48" i="1"/>
  <c r="H48" i="1"/>
  <c r="G48" i="1"/>
  <c r="L47" i="1"/>
  <c r="I47" i="1"/>
  <c r="G47" i="1"/>
  <c r="H47" i="1" s="1"/>
  <c r="M46" i="1"/>
  <c r="N46" i="1" s="1"/>
  <c r="L46" i="1"/>
  <c r="I46" i="1"/>
  <c r="M45" i="1"/>
  <c r="N45" i="1" s="1"/>
  <c r="L45" i="1"/>
  <c r="I45" i="1"/>
  <c r="G45" i="1"/>
  <c r="H45" i="1" s="1"/>
  <c r="F45" i="1"/>
  <c r="E45" i="1"/>
  <c r="D45" i="1"/>
  <c r="E44" i="1"/>
  <c r="D44" i="1"/>
  <c r="F44" i="1" s="1"/>
  <c r="H43" i="1"/>
  <c r="G43" i="1"/>
  <c r="E43" i="1"/>
  <c r="D43" i="1"/>
  <c r="F43" i="1" s="1"/>
  <c r="G42" i="1"/>
  <c r="H42" i="1" s="1"/>
  <c r="E42" i="1"/>
  <c r="D42" i="1"/>
  <c r="F42" i="1" s="1"/>
  <c r="N41" i="1"/>
  <c r="M41" i="1"/>
  <c r="I41" i="1"/>
  <c r="E41" i="1"/>
  <c r="D41" i="1"/>
  <c r="F41" i="1" s="1"/>
  <c r="M40" i="1"/>
  <c r="N40" i="1" s="1"/>
  <c r="L40" i="1"/>
  <c r="E40" i="1"/>
  <c r="D40" i="1"/>
  <c r="F40" i="1" s="1"/>
  <c r="N39" i="1"/>
  <c r="M39" i="1"/>
  <c r="E39" i="1"/>
  <c r="D39" i="1"/>
  <c r="F39" i="1" s="1"/>
  <c r="M38" i="1"/>
  <c r="N38" i="1" s="1"/>
  <c r="L38" i="1"/>
  <c r="I38" i="1"/>
  <c r="H38" i="1"/>
  <c r="G38" i="1"/>
  <c r="I37" i="1"/>
  <c r="G37" i="1"/>
  <c r="H37" i="1" s="1"/>
  <c r="M36" i="1"/>
  <c r="N36" i="1" s="1"/>
  <c r="L36" i="1"/>
  <c r="I36" i="1"/>
  <c r="M35" i="1"/>
  <c r="N35" i="1" s="1"/>
  <c r="L35" i="1"/>
  <c r="I35" i="1"/>
  <c r="G35" i="1"/>
  <c r="H35" i="1" s="1"/>
  <c r="F35" i="1"/>
  <c r="E35" i="1"/>
  <c r="D35" i="1"/>
  <c r="E34" i="1"/>
  <c r="D34" i="1"/>
  <c r="F34" i="1" s="1"/>
  <c r="G33" i="1"/>
  <c r="H33" i="1" s="1"/>
  <c r="F33" i="1"/>
  <c r="E33" i="1"/>
  <c r="D33" i="1"/>
  <c r="G32" i="1"/>
  <c r="H32" i="1" s="1"/>
  <c r="E32" i="1"/>
  <c r="D32" i="1"/>
  <c r="F32" i="1" s="1"/>
  <c r="M31" i="1"/>
  <c r="N31" i="1" s="1"/>
  <c r="I31" i="1"/>
  <c r="E31" i="1"/>
  <c r="D31" i="1"/>
  <c r="F31" i="1" s="1"/>
  <c r="M30" i="1"/>
  <c r="N30" i="1" s="1"/>
  <c r="L30" i="1"/>
  <c r="E30" i="1"/>
  <c r="D30" i="1"/>
  <c r="F30" i="1" s="1"/>
  <c r="N29" i="1"/>
  <c r="M29" i="1"/>
  <c r="E29" i="1"/>
  <c r="D29" i="1"/>
  <c r="F29" i="1" s="1"/>
  <c r="M28" i="1"/>
  <c r="N28" i="1" s="1"/>
  <c r="L28" i="1"/>
  <c r="I28" i="1"/>
  <c r="H28" i="1"/>
  <c r="G28" i="1"/>
  <c r="I27" i="1"/>
  <c r="G27" i="1"/>
  <c r="H27" i="1" s="1"/>
  <c r="M26" i="1"/>
  <c r="N26" i="1" s="1"/>
  <c r="L26" i="1"/>
  <c r="I26" i="1"/>
  <c r="M25" i="1"/>
  <c r="N25" i="1" s="1"/>
  <c r="L25" i="1"/>
  <c r="I25" i="1"/>
  <c r="E25" i="1"/>
  <c r="F25" i="1" s="1"/>
  <c r="D25" i="1"/>
  <c r="E24" i="1"/>
  <c r="D24" i="1"/>
  <c r="F24" i="1" s="1"/>
  <c r="G23" i="1"/>
  <c r="H23" i="1" s="1"/>
  <c r="E23" i="1"/>
  <c r="G22" i="1"/>
  <c r="H22" i="1" s="1"/>
  <c r="E22" i="1"/>
  <c r="D22" i="1"/>
  <c r="F22" i="1" s="1"/>
  <c r="M21" i="1"/>
  <c r="N21" i="1" s="1"/>
  <c r="I21" i="1"/>
  <c r="F21" i="1"/>
  <c r="E21" i="1"/>
  <c r="D21" i="1"/>
  <c r="M20" i="1"/>
  <c r="N20" i="1" s="1"/>
  <c r="L20" i="1"/>
  <c r="E20" i="1"/>
  <c r="D20" i="1"/>
  <c r="F20" i="1" s="1"/>
  <c r="M19" i="1"/>
  <c r="N19" i="1" s="1"/>
  <c r="E19" i="1"/>
  <c r="D19" i="1"/>
  <c r="F19" i="1" s="1"/>
  <c r="M18" i="1"/>
  <c r="N18" i="1" s="1"/>
  <c r="L18" i="1"/>
  <c r="I18" i="1"/>
  <c r="H18" i="1"/>
  <c r="G18" i="1"/>
  <c r="I17" i="1"/>
  <c r="G17" i="1"/>
  <c r="H17" i="1" s="1"/>
  <c r="M16" i="1"/>
  <c r="N16" i="1" s="1"/>
  <c r="L16" i="1"/>
  <c r="I16" i="1"/>
  <c r="M15" i="1"/>
  <c r="N15" i="1" s="1"/>
  <c r="L15" i="1"/>
  <c r="I15" i="1"/>
  <c r="E15" i="1"/>
  <c r="F15" i="1" s="1"/>
  <c r="D15" i="1"/>
  <c r="E14" i="1"/>
  <c r="D14" i="1"/>
  <c r="F14" i="1" s="1"/>
  <c r="G13" i="1"/>
  <c r="H13" i="1" s="1"/>
  <c r="E13" i="1"/>
  <c r="F13" i="1" s="1"/>
  <c r="D13" i="1"/>
  <c r="G12" i="1"/>
  <c r="H12" i="1" s="1"/>
  <c r="E12" i="1"/>
  <c r="D12" i="1"/>
  <c r="F12" i="1" s="1"/>
  <c r="M11" i="1"/>
  <c r="N11" i="1" s="1"/>
  <c r="I11" i="1"/>
  <c r="F11" i="1"/>
  <c r="E11" i="1"/>
  <c r="D11" i="1"/>
  <c r="M10" i="1"/>
  <c r="N10" i="1" s="1"/>
  <c r="L10" i="1"/>
  <c r="E10" i="1"/>
  <c r="D10" i="1"/>
  <c r="F10" i="1" s="1"/>
  <c r="M9" i="1"/>
  <c r="N9" i="1" s="1"/>
  <c r="L9" i="1"/>
  <c r="E9" i="1"/>
  <c r="D9" i="1"/>
  <c r="F9" i="1" s="1"/>
  <c r="I8" i="1"/>
  <c r="H8" i="1"/>
  <c r="G8" i="1"/>
  <c r="I7" i="1"/>
  <c r="G7" i="1"/>
  <c r="H7" i="1" s="1"/>
  <c r="M6" i="1"/>
  <c r="N6" i="1" s="1"/>
  <c r="L6" i="1"/>
  <c r="I6" i="1"/>
  <c r="G6" i="1"/>
  <c r="H6" i="1" s="1"/>
  <c r="M5" i="1"/>
  <c r="I5" i="1"/>
  <c r="E5" i="1"/>
  <c r="E51" i="1" s="1"/>
  <c r="D5" i="1"/>
  <c r="W10" i="2" l="1"/>
  <c r="F5" i="1"/>
  <c r="M7" i="1"/>
  <c r="N7" i="1" s="1"/>
  <c r="F50" i="1"/>
  <c r="U52" i="2"/>
  <c r="W27" i="2"/>
  <c r="X27" i="2"/>
  <c r="W37" i="2"/>
  <c r="X37" i="2"/>
  <c r="W42" i="2"/>
  <c r="G41" i="1"/>
  <c r="H41" i="1" s="1"/>
  <c r="X42" i="2"/>
  <c r="W47" i="2"/>
  <c r="X47" i="2"/>
  <c r="V52" i="2"/>
  <c r="W22" i="2"/>
  <c r="G21" i="1"/>
  <c r="H21" i="1" s="1"/>
  <c r="X22" i="2"/>
  <c r="W25" i="2"/>
  <c r="G25" i="1"/>
  <c r="H25" i="1" s="1"/>
  <c r="W6" i="2"/>
  <c r="X10" i="2"/>
  <c r="W11" i="2"/>
  <c r="X15" i="2"/>
  <c r="W16" i="2"/>
  <c r="X20" i="2"/>
  <c r="W21" i="2"/>
  <c r="X25" i="2"/>
  <c r="W26" i="2"/>
  <c r="W31" i="2"/>
  <c r="X35" i="2"/>
  <c r="W36" i="2"/>
  <c r="W41" i="2"/>
  <c r="X45" i="2"/>
  <c r="W46" i="2"/>
  <c r="W51" i="2"/>
  <c r="W15" i="2"/>
  <c r="X51" i="2"/>
  <c r="W7" i="2"/>
  <c r="X7" i="2"/>
  <c r="W12" i="2"/>
  <c r="G11" i="1"/>
  <c r="H11" i="1" s="1"/>
  <c r="X12" i="2"/>
  <c r="W17" i="2"/>
  <c r="X17" i="2"/>
  <c r="W20" i="2"/>
  <c r="W32" i="2"/>
  <c r="G31" i="1"/>
  <c r="H31" i="1" s="1"/>
  <c r="X32" i="2"/>
  <c r="X6" i="2"/>
  <c r="X11" i="2"/>
  <c r="X16" i="2"/>
  <c r="X21" i="2"/>
  <c r="G46" i="1"/>
  <c r="H46" i="1" s="1"/>
  <c r="D38" i="1"/>
  <c r="F38" i="1" s="1"/>
  <c r="T39" i="2"/>
  <c r="D48" i="1"/>
  <c r="F48" i="1" s="1"/>
  <c r="T49" i="2"/>
  <c r="X31" i="2"/>
  <c r="X41" i="2"/>
  <c r="G5" i="1"/>
  <c r="M8" i="1"/>
  <c r="N8" i="1" s="1"/>
  <c r="AB13" i="2"/>
  <c r="AB14" i="2"/>
  <c r="AB28" i="2"/>
  <c r="AB33" i="2"/>
  <c r="AB34" i="2"/>
  <c r="AB48" i="2"/>
  <c r="D8" i="1"/>
  <c r="F8" i="1" s="1"/>
  <c r="T9" i="2"/>
  <c r="G36" i="1"/>
  <c r="H36" i="1" s="1"/>
  <c r="D7" i="1"/>
  <c r="F7" i="1" s="1"/>
  <c r="Q52" i="2"/>
  <c r="AB18" i="2"/>
  <c r="AB23" i="2"/>
  <c r="AB24" i="2"/>
  <c r="AB38" i="2"/>
  <c r="AB43" i="2"/>
  <c r="AB44" i="2"/>
  <c r="D18" i="1"/>
  <c r="F18" i="1" s="1"/>
  <c r="T19" i="2"/>
  <c r="D28" i="1"/>
  <c r="F28" i="1" s="1"/>
  <c r="T29" i="2"/>
  <c r="N5" i="1"/>
  <c r="D23" i="1"/>
  <c r="F23" i="1" s="1"/>
  <c r="G26" i="1"/>
  <c r="H26" i="1" s="1"/>
  <c r="S52" i="2"/>
  <c r="T8" i="2"/>
  <c r="T52" i="2" s="1"/>
  <c r="T18" i="2"/>
  <c r="T28" i="2"/>
  <c r="T38" i="2"/>
  <c r="T48" i="2"/>
  <c r="AA52" i="2"/>
  <c r="M14" i="1"/>
  <c r="N14" i="1" s="1"/>
  <c r="M24" i="1"/>
  <c r="N24" i="1" s="1"/>
  <c r="M34" i="1"/>
  <c r="N34" i="1" s="1"/>
  <c r="M44" i="1"/>
  <c r="N44" i="1" s="1"/>
  <c r="D16" i="1"/>
  <c r="F16" i="1" s="1"/>
  <c r="D26" i="1"/>
  <c r="F26" i="1" s="1"/>
  <c r="D36" i="1"/>
  <c r="F36" i="1" s="1"/>
  <c r="D46" i="1"/>
  <c r="F46" i="1" s="1"/>
  <c r="D6" i="1"/>
  <c r="M51" i="1" l="1"/>
  <c r="D51" i="1"/>
  <c r="F6" i="1"/>
  <c r="G51" i="1"/>
  <c r="H5" i="1"/>
  <c r="F51" i="1"/>
</calcChain>
</file>

<file path=xl/sharedStrings.xml><?xml version="1.0" encoding="utf-8"?>
<sst xmlns="http://schemas.openxmlformats.org/spreadsheetml/2006/main" count="831" uniqueCount="328">
  <si>
    <t>DCM CREDIT SCREENING  |  ANÁLISE DE OPORTUNIDADES DE DÍVIDA  |  BASE: ÚLTIMO QUARTER LTM DIVULGADO</t>
  </si>
  <si>
    <t>IDENTIFICAÇÃO</t>
  </si>
  <si>
    <t>INDICADORES DE CRÉDITO E LIQUIDEZ</t>
  </si>
  <si>
    <t>TRIGGERS / CATALISADORES</t>
  </si>
  <si>
    <t>Empresa</t>
  </si>
  <si>
    <t>Ticker</t>
  </si>
  <si>
    <t>Setor</t>
  </si>
  <si>
    <t>Dívida Bruta
(R$ mm)</t>
  </si>
  <si>
    <t>Caixa
(R$ mm)</t>
  </si>
  <si>
    <t>Dívida Líquida
(R$ mm)</t>
  </si>
  <si>
    <t>EBITDA LTM
(R$ mm)</t>
  </si>
  <si>
    <t>Dív Líq /
EBITDA (x)</t>
  </si>
  <si>
    <t>EBITDA /
Desp Fin (x)</t>
  </si>
  <si>
    <t>Custo Médio
Dívida % aa</t>
  </si>
  <si>
    <t>Duration
Média (anos)</t>
  </si>
  <si>
    <t>% CP
Dívida</t>
  </si>
  <si>
    <t>Dívida CP
(R$ mm)</t>
  </si>
  <si>
    <t>Caixa /
Dívida CP (x)</t>
  </si>
  <si>
    <t>Covenants
Financeiros</t>
  </si>
  <si>
    <t>Guidance
Capex 12-24m</t>
  </si>
  <si>
    <t>M&amp;A
Recente</t>
  </si>
  <si>
    <t>Observações /
Oportunidade</t>
  </si>
  <si>
    <t>⚠  Convenção de cores de texto:  Azul = Input manual (hardcode)  |  Preto = Fórmula  |  Verde = Link cross-sheet  |  Amarelo = Atenção / Atualizar</t>
  </si>
  <si>
    <t>Energisa</t>
  </si>
  <si>
    <t>ENGI11</t>
  </si>
  <si>
    <t>Energia Elétrica</t>
  </si>
  <si>
    <t>Cemig</t>
  </si>
  <si>
    <t>CMIG4</t>
  </si>
  <si>
    <t>CPFL</t>
  </si>
  <si>
    <t>CPFE3</t>
  </si>
  <si>
    <t>Desktop</t>
  </si>
  <si>
    <t>DESK3</t>
  </si>
  <si>
    <t>Telecom / ISP</t>
  </si>
  <si>
    <t>Unifique</t>
  </si>
  <si>
    <t>FIQE3</t>
  </si>
  <si>
    <t>Brisanet</t>
  </si>
  <si>
    <t>BRIT3</t>
  </si>
  <si>
    <t>Vero</t>
  </si>
  <si>
    <t>N/A</t>
  </si>
  <si>
    <t>Alloha</t>
  </si>
  <si>
    <t>Alares</t>
  </si>
  <si>
    <t>Tecpar / BrTecPar</t>
  </si>
  <si>
    <t>Algar</t>
  </si>
  <si>
    <t>ALGT3</t>
  </si>
  <si>
    <t>TIM</t>
  </si>
  <si>
    <t>TIMS3</t>
  </si>
  <si>
    <t>Telecom</t>
  </si>
  <si>
    <t>Vamos</t>
  </si>
  <si>
    <t>VAMO3</t>
  </si>
  <si>
    <t>Locação / Transporte</t>
  </si>
  <si>
    <t>Movida</t>
  </si>
  <si>
    <t>MOVI3</t>
  </si>
  <si>
    <t>JSL</t>
  </si>
  <si>
    <t>JSLG3</t>
  </si>
  <si>
    <t>Logística</t>
  </si>
  <si>
    <t>Ecorodovias</t>
  </si>
  <si>
    <t>ECOR3</t>
  </si>
  <si>
    <t>Infraestrutura / Rodov.</t>
  </si>
  <si>
    <t>Santos Brasil</t>
  </si>
  <si>
    <t>STBP3</t>
  </si>
  <si>
    <t>Porto / Logística</t>
  </si>
  <si>
    <t>Copasa</t>
  </si>
  <si>
    <t>CSMG3</t>
  </si>
  <si>
    <t>Saneamento</t>
  </si>
  <si>
    <t>Sanepar</t>
  </si>
  <si>
    <t>SAPR11</t>
  </si>
  <si>
    <t>Saneago</t>
  </si>
  <si>
    <t>SAAG4</t>
  </si>
  <si>
    <t>Vix</t>
  </si>
  <si>
    <t>VIIA3</t>
  </si>
  <si>
    <t>Logística / Transporte</t>
  </si>
  <si>
    <t>Armac</t>
  </si>
  <si>
    <t>ARML3</t>
  </si>
  <si>
    <t>Locação</t>
  </si>
  <si>
    <t>Unidas</t>
  </si>
  <si>
    <t>LCAM3</t>
  </si>
  <si>
    <t>Mills</t>
  </si>
  <si>
    <t>MILS3</t>
  </si>
  <si>
    <t>Locação / Indústria</t>
  </si>
  <si>
    <t>Priner</t>
  </si>
  <si>
    <t>PRNR3</t>
  </si>
  <si>
    <t>Serviços Industriais</t>
  </si>
  <si>
    <t>Aura Minerals</t>
  </si>
  <si>
    <t>AURA33</t>
  </si>
  <si>
    <t>Mineração</t>
  </si>
  <si>
    <t>Vale</t>
  </si>
  <si>
    <t>VALE3</t>
  </si>
  <si>
    <t>Rede D'Or</t>
  </si>
  <si>
    <t>RDOR3</t>
  </si>
  <si>
    <t>Saúde</t>
  </si>
  <si>
    <t>GSH</t>
  </si>
  <si>
    <t>GSAU3</t>
  </si>
  <si>
    <t>Hapvida</t>
  </si>
  <si>
    <t>HAPV3</t>
  </si>
  <si>
    <t>Klabin</t>
  </si>
  <si>
    <t>KLBN11</t>
  </si>
  <si>
    <t>Papel e Celulose</t>
  </si>
  <si>
    <t>Unipar</t>
  </si>
  <si>
    <t>UNIP6</t>
  </si>
  <si>
    <t>Química / Petroquímica</t>
  </si>
  <si>
    <t>São Martinho</t>
  </si>
  <si>
    <t>SMTO3</t>
  </si>
  <si>
    <t>Açúcar e Etanol</t>
  </si>
  <si>
    <t>Adecoagro</t>
  </si>
  <si>
    <t>AGRO3</t>
  </si>
  <si>
    <t>Agronegócio</t>
  </si>
  <si>
    <t>BRF</t>
  </si>
  <si>
    <t>BRFS3</t>
  </si>
  <si>
    <t>Alimentos</t>
  </si>
  <si>
    <t>Ânima</t>
  </si>
  <si>
    <t>ANIM3</t>
  </si>
  <si>
    <t>Educação</t>
  </si>
  <si>
    <t>Inspiralli</t>
  </si>
  <si>
    <t>INSP3</t>
  </si>
  <si>
    <t>Yduqs</t>
  </si>
  <si>
    <t>YDUQ3</t>
  </si>
  <si>
    <t>Afya</t>
  </si>
  <si>
    <t>AFYA3</t>
  </si>
  <si>
    <t>Educação Médica</t>
  </si>
  <si>
    <t>Cruzeiro do Sul</t>
  </si>
  <si>
    <t>CSED3</t>
  </si>
  <si>
    <t>Cogna</t>
  </si>
  <si>
    <t>COGN3</t>
  </si>
  <si>
    <t>Vitru</t>
  </si>
  <si>
    <t>VTRU3</t>
  </si>
  <si>
    <t>Ser Educacional</t>
  </si>
  <si>
    <t>SEER3</t>
  </si>
  <si>
    <t>Salta Educação</t>
  </si>
  <si>
    <t>Inspira</t>
  </si>
  <si>
    <t>Smartfit</t>
  </si>
  <si>
    <t>SMFT3</t>
  </si>
  <si>
    <t>Fitness / Saúde</t>
  </si>
  <si>
    <t>TOTAL  (46 empresas)</t>
  </si>
  <si>
    <t>INPUTS — DEMONSTRAÇÕES FINANCEIRAS  |  EXTRAÇÃO DIRETA DAS NOTAS EXPLICATIVAS (DFP / ITR)</t>
  </si>
  <si>
    <t>Azul = input manual (hardcode extraído da DF)  |  Preto = fórmula automática  |  Verde = valor exportado para 'Painel de Crédito'  |  Cinza = calculado nesta aba</t>
  </si>
  <si>
    <t>BALANÇO — DÍVIDA  (R$ mm)</t>
  </si>
  <si>
    <t>BALANÇO — CAIXA  (R$ mm)</t>
  </si>
  <si>
    <t>P&amp;L LTM  (R$ mm)</t>
  </si>
  <si>
    <t>DÍVIDA BRUTA CALC.</t>
  </si>
  <si>
    <t>CAIXA / DÍV. LÍQUIDA</t>
  </si>
  <si>
    <t>EBITDA</t>
  </si>
  <si>
    <t>DL/EBITDA</t>
  </si>
  <si>
    <t>ICJ</t>
  </si>
  <si>
    <t>LIQUIDEZ CP</t>
  </si>
  <si>
    <t>ℹ  IFRS 16 (arrendamentos): preencher cols E e F se quiser comparar alavancagem com e sem leasing. Cols Q e W excluem IFRS16; cols R e X incluem. Deixar em branco se não aplicável.</t>
  </si>
  <si>
    <t>Período
(ex: 4T24 LTM)</t>
  </si>
  <si>
    <t>Emp. &amp; Fin.
CP</t>
  </si>
  <si>
    <t>Emp. &amp; Fin.
LP</t>
  </si>
  <si>
    <t>Arrendam.
CP (IFRS16)</t>
  </si>
  <si>
    <t>Arrendam.
LP (IFRS16)</t>
  </si>
  <si>
    <t>Outros
Passivos Fin. CP</t>
  </si>
  <si>
    <t>Outros
Passivos Fin. LP</t>
  </si>
  <si>
    <t>Caixa e
Equivalentes</t>
  </si>
  <si>
    <t>Aplicações
Financ. CP</t>
  </si>
  <si>
    <t>Receita
Líquida LTM</t>
  </si>
  <si>
    <t>EBIT
LTM</t>
  </si>
  <si>
    <t>D&amp;A
LTM</t>
  </si>
  <si>
    <t>Desp.
Financ. Bruta</t>
  </si>
  <si>
    <t>Rec.
Financ. LTM</t>
  </si>
  <si>
    <t>Capex
LTM</t>
  </si>
  <si>
    <t>Dív. Bruta
(sem IFRS16)</t>
  </si>
  <si>
    <t>Dív. Bruta
(com IFRS16)</t>
  </si>
  <si>
    <t>Caixa
Total</t>
  </si>
  <si>
    <t>Dív. Líq.
(sem IFRS16)</t>
  </si>
  <si>
    <t>Dív. Líq.
(com IFRS16)</t>
  </si>
  <si>
    <t>EBITDA
LTM</t>
  </si>
  <si>
    <t>DL/EBITDA
(sem IFRS16)</t>
  </si>
  <si>
    <t>DL/EBITDA
(com IFRS16)</t>
  </si>
  <si>
    <t>EBITDA /
Desp Fin</t>
  </si>
  <si>
    <t>% CP
(sem IFRS16)</t>
  </si>
  <si>
    <t>Dív. CP
(sem IFRS16)</t>
  </si>
  <si>
    <t>Caixa /
Dív. CP</t>
  </si>
  <si>
    <t>CRONOGRAMA DE AMORTIZAÇÃO  |  POR INSTRUMENTO DE DÍVIDA  |  UMA LINHA = UM INSTRUMENTO</t>
  </si>
  <si>
    <t>INSTRUMENTO</t>
  </si>
  <si>
    <t>DADOS DO INSTRUMENTO</t>
  </si>
  <si>
    <t>Tipo de Instrumento
(Debênture / Bond / NP / CRA / CCB / Bancário)</t>
  </si>
  <si>
    <t>Série /
Emissão</t>
  </si>
  <si>
    <t>Data de
Emissão</t>
  </si>
  <si>
    <t>Saldo Devedor
(R$ mm)</t>
  </si>
  <si>
    <t>Moeda</t>
  </si>
  <si>
    <t>Vencimento
Final</t>
  </si>
  <si>
    <t>Próx. Amortização
(data)</t>
  </si>
  <si>
    <t>Valor Próx.
Amort (R$ mm)</t>
  </si>
  <si>
    <t>Taxa
Contratada</t>
  </si>
  <si>
    <t>Indexador /
Benchmark</t>
  </si>
  <si>
    <t>Observações /
Warning</t>
  </si>
  <si>
    <t>⚠  Preencher uma linha por instrumento relevante. Azul = Input manual. Fórmulas automáticas em cinza (dias para vencimento, flag de curto prazo).</t>
  </si>
  <si>
    <t>WALL OF MATURITIES  |  VENCIMENTOS CONSOLIDADOS POR ANO  (R$ mm)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</si>
  <si>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</si>
  <si>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</si>
  <si>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</si>
  <si>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</si>
  <si>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</si>
  <si>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</si>
  <si>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</si>
  <si>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</si>
  <si>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</si>
  <si>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</si>
  <si>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</si>
  <si>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2036+</t>
  </si>
  <si>
    <t>Total</t>
  </si>
  <si>
    <t>TOTAL GERAL</t>
  </si>
  <si>
    <t>ℹ  Preencher com os saldos devedores por ano de vencimento extraídos da aba 'Cronograma de Amortização'. Considerar apenas amortizações de principal.</t>
  </si>
  <si>
    <t>COVENANTS FINANCEIROS  |  GUIDANCE DE CAPEX  |  M&amp;A RECENTE</t>
  </si>
  <si>
    <t>Instrumento /
Debenturista</t>
  </si>
  <si>
    <t>Covenant: DL/
EBITDA — Limite</t>
  </si>
  <si>
    <t>Covenant:
Outro Indicador</t>
  </si>
  <si>
    <t>Headroom
Atual</t>
  </si>
  <si>
    <t>Guidance Capex
12 meses (R$ mm)</t>
  </si>
  <si>
    <t>Guidance Capex
24 meses (R$ mm)</t>
  </si>
  <si>
    <t>M&amp;A Anunciado
(Alvo / Valor)</t>
  </si>
  <si>
    <t>Impacto
Alavancagem</t>
  </si>
  <si>
    <t>Observações</t>
  </si>
  <si>
    <t>FONTES  |  SITES DE RELAÇÕES COM INVESTIDORES</t>
  </si>
  <si>
    <t>Links para os portais de RI das empresas em cobertura. Verificar release do último trimestre e/ou apresentação de resultados para preenchimento das abas.</t>
  </si>
  <si>
    <t>Link Portal RI</t>
  </si>
  <si>
    <t>Última Atualização / Nota</t>
  </si>
  <si>
    <t>▌  ENERGIA ELÉTRICA</t>
  </si>
  <si>
    <t>https://www.energisa.com.br/Paginas/Informacoes/Investidores.aspx</t>
  </si>
  <si>
    <t>https://ri.cemig.com.br/</t>
  </si>
  <si>
    <t>https://ri.cpfl.com.br/</t>
  </si>
  <si>
    <t>▌  TELECOM / ISP</t>
  </si>
  <si>
    <t>https://ri.desktop.com.br/</t>
  </si>
  <si>
    <t>https://ri.unifique.com.br/</t>
  </si>
  <si>
    <t>https://ri.brisanet.com.br/</t>
  </si>
  <si>
    <t>https://www.vero.net.br/ri</t>
  </si>
  <si>
    <t>https://www.allohari.com/</t>
  </si>
  <si>
    <t>https://ri.alaresinternet.com.br/</t>
  </si>
  <si>
    <t>https://ri.brasiltecpar.com.br/</t>
  </si>
  <si>
    <t>https://ri.algar.com.br/</t>
  </si>
  <si>
    <t>▌  TELECOM</t>
  </si>
  <si>
    <t>https://ri.tim.com.br/</t>
  </si>
  <si>
    <t>▌  LOCAÇÃO / TRANSPORTE</t>
  </si>
  <si>
    <t>https://ri.vamos.com.br/</t>
  </si>
  <si>
    <t>https://ri.movida.com.br/</t>
  </si>
  <si>
    <t>▌  LOGÍSTICA</t>
  </si>
  <si>
    <t>https://ri.jsl.com.br/</t>
  </si>
  <si>
    <t>▌  INFRAESTRUTURA / RODOV.</t>
  </si>
  <si>
    <t>https://ri.ecorodovias.com.br/</t>
  </si>
  <si>
    <t>▌  PORTO / LOGÍSTICA</t>
  </si>
  <si>
    <t>https://ri.santosbrasil.com.br/</t>
  </si>
  <si>
    <t>▌  SANEAMENTO</t>
  </si>
  <si>
    <t>https://ri.copasa.com.br/</t>
  </si>
  <si>
    <t>https://www.sanepar.com.br/ri</t>
  </si>
  <si>
    <t>https://ri.saneago.com.br/</t>
  </si>
  <si>
    <t>▌  LOGÍSTICA / TRANSPORTE</t>
  </si>
  <si>
    <t>https://ri.vix.com.br/</t>
  </si>
  <si>
    <t>▌  LOCAÇÃO</t>
  </si>
  <si>
    <t>https://ri.armac.com.br/</t>
  </si>
  <si>
    <t>https://ri.unidas.com.br/</t>
  </si>
  <si>
    <t>▌  LOCAÇÃO / INDÚSTRIA</t>
  </si>
  <si>
    <t>https://ri.mills.com.br/</t>
  </si>
  <si>
    <t>▌  SERVIÇOS INDUSTRIAIS</t>
  </si>
  <si>
    <t>https://ri.priner.com.br/</t>
  </si>
  <si>
    <t>▌  MINERAÇÃO</t>
  </si>
  <si>
    <t>https://ri.auraminerals.com/</t>
  </si>
  <si>
    <t>https://www.vale.com/pt/investidores</t>
  </si>
  <si>
    <t>▌  SAÚDE</t>
  </si>
  <si>
    <t>https://ri.rededorsp.com.br/</t>
  </si>
  <si>
    <t>https://ri.grupogsh.com.br/</t>
  </si>
  <si>
    <t>https://ri.hapvida.com.br/</t>
  </si>
  <si>
    <t>▌  PAPEL E CELULOSE</t>
  </si>
  <si>
    <t>https://ri.klabin.com.br/</t>
  </si>
  <si>
    <t>▌  QUÍMICA / PETROQUÍMICA</t>
  </si>
  <si>
    <t>https://ri.unipar.com/</t>
  </si>
  <si>
    <t>▌  AÇÚCAR E ETANOL</t>
  </si>
  <si>
    <t>https://ri.saomartinho.com.br/</t>
  </si>
  <si>
    <t>▌  AGRONEGÓCIO</t>
  </si>
  <si>
    <t>https://ri.adecoagro.com/</t>
  </si>
  <si>
    <t>▌  ALIMENTOS</t>
  </si>
  <si>
    <t>https://ri.brf.com.br/</t>
  </si>
  <si>
    <t>▌  EDUCAÇÃO</t>
  </si>
  <si>
    <t>https://ri.animaeducacao.com.br/</t>
  </si>
  <si>
    <t>https://ri.inspiralli.com.br/</t>
  </si>
  <si>
    <t>https://ri.yduqs.com.br/</t>
  </si>
  <si>
    <t>▌  EDUCAÇÃO MÉDICA</t>
  </si>
  <si>
    <t>https://ri.afya.com.br/</t>
  </si>
  <si>
    <t>https://ri.cruzeirodosul.edu.br/</t>
  </si>
  <si>
    <t>https://ri.cogna.com.br/</t>
  </si>
  <si>
    <t>https://ri.vitru.com.br/</t>
  </si>
  <si>
    <t>https://ri.sereducacional.com/</t>
  </si>
  <si>
    <t>https://ri.saltaeducacao.com.br/</t>
  </si>
  <si>
    <t>https://ri.inspira.edu.br/</t>
  </si>
  <si>
    <t>▌  FITNESS / SAÚDE</t>
  </si>
  <si>
    <t>https://ri.smartfit.com.br/</t>
  </si>
  <si>
    <t>NOTAS METODOLÓGICAS  |  DEFINIÇÕES E CONVENÇÕES</t>
  </si>
  <si>
    <t>Campo / Métrica</t>
  </si>
  <si>
    <t>Definição e Metodologia</t>
  </si>
  <si>
    <t>PERÍODO BASE</t>
  </si>
  <si>
    <t>Último quarter com LTM (Last Twelve Months) divulgado. Ajustar label na aba 'Painel de Crédito' conforme publicação de resultados.</t>
  </si>
  <si>
    <t>DÍVIDA BRUTA</t>
  </si>
  <si>
    <t>Total de dívidas financeiras onerosas: debêntures, bonds, CRAs, NPs, CCBs, empréstimos bancários e arrendamentos (IFRS 16 a critério do analista — indicar se incluído).</t>
  </si>
  <si>
    <t>CAIXA</t>
  </si>
  <si>
    <t>Caixa e equivalentes + aplicações financeiras de curto prazo. Excluir restritos.</t>
  </si>
  <si>
    <t>DÍVIDA LÍQUIDA</t>
  </si>
  <si>
    <t>Dívida Bruta – Caixa. Fórmula automática na planilha. Se negativo, indica posição de caixa líquido.</t>
  </si>
  <si>
    <t>EBITDA LTM</t>
  </si>
  <si>
    <t>EBITDA ajustado LTM conforme reportado pela companhia (preferir EBITDA recorrente/ajustado divulgado no release). Se não divulgado, calcular: EBIT + D&amp;A.</t>
  </si>
  <si>
    <t>DL / EBITDA</t>
  </si>
  <si>
    <t>Alavancagem financeira. Calculado automaticamente. Referência: &gt;4,0x = elevado; 2,0-4,0x = moderado; &lt;2,0x = baixo (parâmetros setoriais variam).</t>
  </si>
  <si>
    <t>EBITDA / DESP. FIN.</t>
  </si>
  <si>
    <t>Índice de cobertura de juros (ICJ). Input manual. Referência: &lt;2,0x = zona de atenção; &gt;3,0x = confortável.</t>
  </si>
  <si>
    <t>CUSTO MÉDIO</t>
  </si>
  <si>
    <t>Custo médio ponderado da dívida (% a.a.), conforme disclosure da companhia ou calculado via juros pagos / saldo médio. Indicar se CDI+spread ou % CDI.</t>
  </si>
  <si>
    <t>DURATION MÉDIA</t>
  </si>
  <si>
    <t>Prazo médio ponderado da dívida em anos, considerando fluxos de principal e juros, ou conforme disclosure da empresa.</t>
  </si>
  <si>
    <t>% CURTO PRAZO</t>
  </si>
  <si>
    <t>Parcela da dívida bruta vencendo em até 12 meses / dívida bruta total.</t>
  </si>
  <si>
    <t>DÍVIDA CP</t>
  </si>
  <si>
    <t>Saldo da dívida com vencimento em até 12 meses (circulante). Fonte: notas explicativas.</t>
  </si>
  <si>
    <t>CAIXA / DÍVIDA CP</t>
  </si>
  <si>
    <t>Liquidez imediata. &gt;1,0x = caixa cobre vencimentos CP; &lt;1,0x = possível necessidade de refinanciamento ou novas captações.</t>
  </si>
  <si>
    <t>COVENANTS</t>
  </si>
  <si>
    <t>Principais covenants financeiros e limiares definidos nos instrumentos de dívida (ex.: DL/EBITDA ≤ 3,5x; ICJ ≥ 2,0x). Fonte: escrituras/indentures/notas explicativas.</t>
  </si>
  <si>
    <t>GUIDANCE CAPEX</t>
  </si>
  <si>
    <t>Orientação de investimentos divulgada nos últimos releases, earnings calls ou Formulário de Referência — horizonte 12-24 meses.</t>
  </si>
  <si>
    <t>M&amp;A RECENTE</t>
  </si>
  <si>
    <t>M&amp;A anunciado nos últimos 12 meses: alvo, valor indicativo e impacto esperado na alavancagem.</t>
  </si>
  <si>
    <t>CRONOGRAMA AMORT.</t>
  </si>
  <si>
    <t>Preencher aba 'Cronograma de Amortização' com um instrumento por linha extraído das notas explicativas. Priorizar instrumentos &gt; R$ 50mm.</t>
  </si>
  <si>
    <t>WALL OF MATURITIES</t>
  </si>
  <si>
    <t>Consolidado de vencimentos anuais extraído do cronograma — útil para identificar concentrações de refi e janelas de oportunidade para DCM.</t>
  </si>
  <si>
    <t>CONVENÇÃO CORES</t>
  </si>
  <si>
    <t>Azul = input hardcode | Preto = fórmula | Verde = link cross-sheet | Amarelo BG = atenção / campo a revisar.</t>
  </si>
  <si>
    <t>FONTES PRIMÁRIAS</t>
  </si>
  <si>
    <t>Releases de resultados trimestrais, Notas Explicativas (ITR/IAN), Formulário de Referência CVM, Escrituras de Debêntures (CVM), Earnings Call Transcripts.</t>
  </si>
  <si>
    <t>ATUALIZAÇÃO</t>
  </si>
  <si>
    <t>Recomendado atualizar a cada ciclo de resultados (trimestral). Registrar data de atualização na col. 'Última Atualização' da aba Fontes—RI.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</si>
</sst>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\x;\(0.0&quot;x)&quot;;\-"/>
    <numFmt numFmtId="166" formatCode="0.0\%;\(0.0&quot;%)&quot;;\-"/>
    <numFmt numFmtId="167" formatCode="0.0;\(0.0\);\-"/>
    <numFmt numFmtId="168" formatCode="0.0%;\(0.0%\);\-"/>
    <numFmt numFmtId="169" formatCode="dd/mm/yyyy"/>
  </numFmts>
  <fonts count="1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8"/>
      <color rgb="FF7F6000"/>
      <name val="Arial"/>
      <family val="2"/>
    </font>
    <font>
      <b/>
      <sz val="9"/>
      <color rgb="FF0000FF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i/>
      <sz val="8"/>
      <color rgb="FF375623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  <font>
      <u/>
      <sz val="11"/>
      <color theme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563C1"/>
      </patternFill>
    </fill>
    <fill>
      <patternFill patternType="solid">
        <fgColor rgb="FFFFF2CC"/>
        <bgColor rgb="FFE2EFDA"/>
      </patternFill>
    </fill>
    <fill>
      <patternFill patternType="solid">
        <fgColor rgb="FFF2F7FB"/>
        <bgColor rgb="FFEBF3FB"/>
      </patternFill>
    </fill>
    <fill>
      <patternFill patternType="solid">
        <fgColor rgb="FFFFFFFF"/>
        <bgColor rgb="FFF2F7FB"/>
      </patternFill>
    </fill>
    <fill>
      <patternFill patternType="solid">
        <fgColor rgb="FF375623"/>
        <bgColor rgb="FF595959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EBF3FB"/>
      </patternFill>
    </fill>
    <fill>
      <patternFill patternType="solid">
        <fgColor rgb="FFEBF3FB"/>
        <bgColor rgb="FFF2F7FB"/>
      </patternFill>
    </fill>
    <fill>
      <patternFill patternType="solid">
        <fgColor rgb="FFD6E4F0"/>
        <bgColor rgb="FFE2EFDA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7">
    <xf numFmtId="0" fontId="0" fillId="0" borderId="0" xfId="0"/>
    <xf numFmtId="0" fontId="12" fillId="11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center" vertical="center"/>
    </xf>
    <xf numFmtId="165" fontId="7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168" fontId="7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165" fontId="7" fillId="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7" fontId="6" fillId="6" borderId="1" xfId="0" applyNumberFormat="1" applyFont="1" applyFill="1" applyBorder="1" applyAlignment="1">
      <alignment horizontal="center" vertical="center"/>
    </xf>
    <xf numFmtId="168" fontId="7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168" fontId="8" fillId="10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9" fontId="6" fillId="5" borderId="1" xfId="0" applyNumberFormat="1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left" vertical="center"/>
    </xf>
    <xf numFmtId="169" fontId="6" fillId="6" borderId="1" xfId="0" applyNumberFormat="1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14" fillId="5" borderId="1" xfId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D6E4F0"/>
      <rgbColor rgb="FF808080"/>
      <rgbColor rgb="FF9999FF"/>
      <rgbColor rgb="FF7030A0"/>
      <rgbColor rgb="FFFFF2CC"/>
      <rgbColor rgb="FFEBF3FB"/>
      <rgbColor rgb="FF660066"/>
      <rgbColor rgb="FFFF8080"/>
      <rgbColor rgb="FF0563C1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B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ri.vamos.com.br/" TargetMode="External"/><Relationship Id="rId18" Type="http://schemas.openxmlformats.org/officeDocument/2006/relationships/hyperlink" Target="https://ri.copasa.com.br/" TargetMode="External"/><Relationship Id="rId26" Type="http://schemas.openxmlformats.org/officeDocument/2006/relationships/hyperlink" Target="https://ri.auraminerals.com/" TargetMode="External"/><Relationship Id="rId39" Type="http://schemas.openxmlformats.org/officeDocument/2006/relationships/hyperlink" Target="https://ri.afya.com.br/" TargetMode="External"/><Relationship Id="rId21" Type="http://schemas.openxmlformats.org/officeDocument/2006/relationships/hyperlink" Target="https://ri.vix.com.br/" TargetMode="External"/><Relationship Id="rId34" Type="http://schemas.openxmlformats.org/officeDocument/2006/relationships/hyperlink" Target="https://ri.adecoagro.com/" TargetMode="External"/><Relationship Id="rId42" Type="http://schemas.openxmlformats.org/officeDocument/2006/relationships/hyperlink" Target="https://ri.vitru.com.br/" TargetMode="External"/><Relationship Id="rId7" Type="http://schemas.openxmlformats.org/officeDocument/2006/relationships/hyperlink" Target="https://www.vero.net.br/ri" TargetMode="External"/><Relationship Id="rId2" Type="http://schemas.openxmlformats.org/officeDocument/2006/relationships/hyperlink" Target="https://ri.cemig.com.br/" TargetMode="External"/><Relationship Id="rId16" Type="http://schemas.openxmlformats.org/officeDocument/2006/relationships/hyperlink" Target="https://ri.ecorodovias.com.br/" TargetMode="External"/><Relationship Id="rId29" Type="http://schemas.openxmlformats.org/officeDocument/2006/relationships/hyperlink" Target="https://ri.grupogsh.com.br/" TargetMode="External"/><Relationship Id="rId1" Type="http://schemas.openxmlformats.org/officeDocument/2006/relationships/hyperlink" Target="https://www.energisa.com.br/Paginas/Informacoes/Investidores.aspx" TargetMode="External"/><Relationship Id="rId6" Type="http://schemas.openxmlformats.org/officeDocument/2006/relationships/hyperlink" Target="https://ri.brisanet.com.br/" TargetMode="External"/><Relationship Id="rId11" Type="http://schemas.openxmlformats.org/officeDocument/2006/relationships/hyperlink" Target="https://ri.algar.com.br/" TargetMode="External"/><Relationship Id="rId24" Type="http://schemas.openxmlformats.org/officeDocument/2006/relationships/hyperlink" Target="https://ri.mills.com.br/" TargetMode="External"/><Relationship Id="rId32" Type="http://schemas.openxmlformats.org/officeDocument/2006/relationships/hyperlink" Target="https://ri.unipar.com/" TargetMode="External"/><Relationship Id="rId37" Type="http://schemas.openxmlformats.org/officeDocument/2006/relationships/hyperlink" Target="https://ri.inspiralli.com.br/" TargetMode="External"/><Relationship Id="rId40" Type="http://schemas.openxmlformats.org/officeDocument/2006/relationships/hyperlink" Target="https://ri.cruzeirodosul.edu.br/" TargetMode="External"/><Relationship Id="rId45" Type="http://schemas.openxmlformats.org/officeDocument/2006/relationships/hyperlink" Target="https://ri.inspira.edu.br/" TargetMode="External"/><Relationship Id="rId5" Type="http://schemas.openxmlformats.org/officeDocument/2006/relationships/hyperlink" Target="https://ri.unifique.com.br/" TargetMode="External"/><Relationship Id="rId15" Type="http://schemas.openxmlformats.org/officeDocument/2006/relationships/hyperlink" Target="https://ri.jsl.com.br/" TargetMode="External"/><Relationship Id="rId23" Type="http://schemas.openxmlformats.org/officeDocument/2006/relationships/hyperlink" Target="https://ri.unidas.com.br/" TargetMode="External"/><Relationship Id="rId28" Type="http://schemas.openxmlformats.org/officeDocument/2006/relationships/hyperlink" Target="https://ri.rededorsp.com.br/" TargetMode="External"/><Relationship Id="rId36" Type="http://schemas.openxmlformats.org/officeDocument/2006/relationships/hyperlink" Target="https://ri.animaeducacao.com.br/" TargetMode="External"/><Relationship Id="rId10" Type="http://schemas.openxmlformats.org/officeDocument/2006/relationships/hyperlink" Target="https://ri.brasiltecpar.com.br/" TargetMode="External"/><Relationship Id="rId19" Type="http://schemas.openxmlformats.org/officeDocument/2006/relationships/hyperlink" Target="https://www.sanepar.com.br/ri" TargetMode="External"/><Relationship Id="rId31" Type="http://schemas.openxmlformats.org/officeDocument/2006/relationships/hyperlink" Target="https://ri.klabin.com.br/" TargetMode="External"/><Relationship Id="rId44" Type="http://schemas.openxmlformats.org/officeDocument/2006/relationships/hyperlink" Target="https://ri.saltaeducacao.com.br/" TargetMode="External"/><Relationship Id="rId4" Type="http://schemas.openxmlformats.org/officeDocument/2006/relationships/hyperlink" Target="https://ri.desktop.com.br/" TargetMode="External"/><Relationship Id="rId9" Type="http://schemas.openxmlformats.org/officeDocument/2006/relationships/hyperlink" Target="https://ri.alaresinternet.com.br/" TargetMode="External"/><Relationship Id="rId14" Type="http://schemas.openxmlformats.org/officeDocument/2006/relationships/hyperlink" Target="https://ri.movida.com.br/" TargetMode="External"/><Relationship Id="rId22" Type="http://schemas.openxmlformats.org/officeDocument/2006/relationships/hyperlink" Target="https://ri.armac.com.br/" TargetMode="External"/><Relationship Id="rId27" Type="http://schemas.openxmlformats.org/officeDocument/2006/relationships/hyperlink" Target="https://www.vale.com/pt/investidores" TargetMode="External"/><Relationship Id="rId30" Type="http://schemas.openxmlformats.org/officeDocument/2006/relationships/hyperlink" Target="https://ri.hapvida.com.br/" TargetMode="External"/><Relationship Id="rId35" Type="http://schemas.openxmlformats.org/officeDocument/2006/relationships/hyperlink" Target="https://ri.brf.com.br/" TargetMode="External"/><Relationship Id="rId43" Type="http://schemas.openxmlformats.org/officeDocument/2006/relationships/hyperlink" Target="https://ri.sereducacional.com/" TargetMode="External"/><Relationship Id="rId8" Type="http://schemas.openxmlformats.org/officeDocument/2006/relationships/hyperlink" Target="https://www.allohari.com/" TargetMode="External"/><Relationship Id="rId3" Type="http://schemas.openxmlformats.org/officeDocument/2006/relationships/hyperlink" Target="https://ri.cpfl.com.br/" TargetMode="External"/><Relationship Id="rId12" Type="http://schemas.openxmlformats.org/officeDocument/2006/relationships/hyperlink" Target="https://ri.tim.com.br/" TargetMode="External"/><Relationship Id="rId17" Type="http://schemas.openxmlformats.org/officeDocument/2006/relationships/hyperlink" Target="https://ri.santosbrasil.com.br/" TargetMode="External"/><Relationship Id="rId25" Type="http://schemas.openxmlformats.org/officeDocument/2006/relationships/hyperlink" Target="https://ri.priner.com.br/" TargetMode="External"/><Relationship Id="rId33" Type="http://schemas.openxmlformats.org/officeDocument/2006/relationships/hyperlink" Target="https://ri.saomartinho.com.br/" TargetMode="External"/><Relationship Id="rId38" Type="http://schemas.openxmlformats.org/officeDocument/2006/relationships/hyperlink" Target="https://ri.yduqs.com.br/" TargetMode="External"/><Relationship Id="rId46" Type="http://schemas.openxmlformats.org/officeDocument/2006/relationships/hyperlink" Target="https://ri.smartfit.com.br/" TargetMode="External"/><Relationship Id="rId20" Type="http://schemas.openxmlformats.org/officeDocument/2006/relationships/hyperlink" Target="https://ri.saneago.com.br/" TargetMode="External"/><Relationship Id="rId41" Type="http://schemas.openxmlformats.org/officeDocument/2006/relationships/hyperlink" Target="https://ri.cogn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Z51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Z1"/>
    </sheetView>
  </sheetViews>
  <sheetFormatPr baseColWidth="10" defaultColWidth="8.6640625" defaultRowHeight="15" x14ac:dyDescent="0.2"/>
  <cols>
    <col min="1" max="1" width="22" customWidth="1"/>
    <col min="2" max="2" width="9" customWidth="1"/>
    <col min="3" max="3" width="18" customWidth="1"/>
    <col min="4" max="4" width="14" customWidth="1"/>
    <col min="5" max="5" width="13" customWidth="1"/>
    <col min="6" max="7" width="14" customWidth="1"/>
    <col min="8" max="9" width="12" customWidth="1"/>
    <col min="10" max="10" width="13" customWidth="1"/>
    <col min="11" max="11" width="12" customWidth="1"/>
    <col min="12" max="12" width="10" customWidth="1"/>
    <col min="13" max="13" width="13" customWidth="1"/>
    <col min="14" max="14" width="12" customWidth="1"/>
    <col min="15" max="15" width="18" customWidth="1"/>
    <col min="16" max="16" width="20" customWidth="1"/>
    <col min="17" max="17" width="18" customWidth="1"/>
    <col min="18" max="18" width="28" customWidth="1"/>
  </cols>
  <sheetData>
    <row r="1" spans="1:26" ht="13.5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8" customHeight="1" x14ac:dyDescent="0.2">
      <c r="A2" s="12" t="s">
        <v>1</v>
      </c>
      <c r="B2" s="12"/>
      <c r="C2" s="12"/>
      <c r="D2" s="12" t="s">
        <v>2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 t="s">
        <v>3</v>
      </c>
      <c r="P2" s="12"/>
      <c r="Q2" s="12"/>
      <c r="R2" s="12"/>
    </row>
    <row r="3" spans="1:26" ht="36" customHeight="1" x14ac:dyDescent="0.2">
      <c r="A3" s="14" t="s">
        <v>4</v>
      </c>
      <c r="B3" s="14" t="s">
        <v>5</v>
      </c>
      <c r="C3" s="14" t="s">
        <v>6</v>
      </c>
      <c r="D3" s="14" t="s">
        <v>7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12</v>
      </c>
      <c r="J3" s="14" t="s">
        <v>13</v>
      </c>
      <c r="K3" s="14" t="s">
        <v>14</v>
      </c>
      <c r="L3" s="14" t="s">
        <v>15</v>
      </c>
      <c r="M3" s="14" t="s">
        <v>16</v>
      </c>
      <c r="N3" s="14" t="s">
        <v>17</v>
      </c>
      <c r="O3" s="14" t="s">
        <v>18</v>
      </c>
      <c r="P3" s="14" t="s">
        <v>19</v>
      </c>
      <c r="Q3" s="14" t="s">
        <v>20</v>
      </c>
      <c r="R3" s="14" t="s">
        <v>21</v>
      </c>
    </row>
    <row r="4" spans="1:26" ht="13.5" customHeight="1" x14ac:dyDescent="0.2">
      <c r="A4" s="11" t="s">
        <v>22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26" ht="16.5" customHeight="1" x14ac:dyDescent="0.2">
      <c r="A5" s="15" t="s">
        <v>23</v>
      </c>
      <c r="B5" s="16" t="s">
        <v>24</v>
      </c>
      <c r="C5" s="17" t="s">
        <v>25</v>
      </c>
      <c r="D5" s="18">
        <f>'Inputs — DFs'!Q6</f>
        <v>0</v>
      </c>
      <c r="E5" s="18">
        <f>'Inputs — DFs'!S6</f>
        <v>0</v>
      </c>
      <c r="F5" s="19">
        <f t="shared" ref="F5:F50" si="0">IF(AND(D5&lt;&gt;"",E5&lt;&gt;""),D5-E5,"")</f>
        <v>0</v>
      </c>
      <c r="G5" s="18">
        <f>'Inputs — DFs'!V6</f>
        <v>0</v>
      </c>
      <c r="H5" s="20" t="str">
        <f t="shared" ref="H5:H50" si="1">IF(AND(G5&lt;&gt;"",((G5)&lt;&gt;0)),F5/G5,"")</f>
        <v/>
      </c>
      <c r="I5" s="21" t="str">
        <f>'Inputs — DFs'!Y6</f>
        <v/>
      </c>
      <c r="J5" s="22"/>
      <c r="K5" s="23"/>
      <c r="L5" s="24" t="str">
        <f>'Inputs — DFs'!Z6</f>
        <v/>
      </c>
      <c r="M5" s="18">
        <f>'Inputs — DFs'!AA6</f>
        <v>0</v>
      </c>
      <c r="N5" s="20" t="str">
        <f t="shared" ref="N5:N50" si="2">IF(AND(M5&lt;&gt;"",((M5)&lt;&gt;0)),E5/M5,"")</f>
        <v/>
      </c>
      <c r="O5" s="25"/>
      <c r="P5" s="25"/>
      <c r="Q5" s="25"/>
      <c r="R5" s="25"/>
    </row>
    <row r="6" spans="1:26" ht="16.5" customHeight="1" x14ac:dyDescent="0.2">
      <c r="A6" s="26" t="s">
        <v>26</v>
      </c>
      <c r="B6" s="27" t="s">
        <v>27</v>
      </c>
      <c r="C6" s="28" t="s">
        <v>25</v>
      </c>
      <c r="D6" s="29">
        <f>'Inputs — DFs'!Q7</f>
        <v>0</v>
      </c>
      <c r="E6" s="29">
        <f>'Inputs — DFs'!S7</f>
        <v>0</v>
      </c>
      <c r="F6" s="30">
        <f t="shared" si="0"/>
        <v>0</v>
      </c>
      <c r="G6" s="29">
        <f>'Inputs — DFs'!V7</f>
        <v>0</v>
      </c>
      <c r="H6" s="31" t="str">
        <f t="shared" si="1"/>
        <v/>
      </c>
      <c r="I6" s="32" t="str">
        <f>'Inputs — DFs'!Y7</f>
        <v/>
      </c>
      <c r="J6" s="33"/>
      <c r="K6" s="34"/>
      <c r="L6" s="35" t="str">
        <f>'Inputs — DFs'!Z7</f>
        <v/>
      </c>
      <c r="M6" s="29">
        <f>'Inputs — DFs'!AA7</f>
        <v>0</v>
      </c>
      <c r="N6" s="31" t="str">
        <f t="shared" si="2"/>
        <v/>
      </c>
      <c r="O6" s="36"/>
      <c r="P6" s="36"/>
      <c r="Q6" s="36"/>
      <c r="R6" s="36"/>
    </row>
    <row r="7" spans="1:26" ht="16.5" customHeight="1" x14ac:dyDescent="0.2">
      <c r="A7" s="15" t="s">
        <v>28</v>
      </c>
      <c r="B7" s="16" t="s">
        <v>29</v>
      </c>
      <c r="C7" s="17" t="s">
        <v>25</v>
      </c>
      <c r="D7" s="18">
        <f>'Inputs — DFs'!Q8</f>
        <v>0</v>
      </c>
      <c r="E7" s="18">
        <f>'Inputs — DFs'!S8</f>
        <v>0</v>
      </c>
      <c r="F7" s="19">
        <f t="shared" si="0"/>
        <v>0</v>
      </c>
      <c r="G7" s="18">
        <f>'Inputs — DFs'!V8</f>
        <v>0</v>
      </c>
      <c r="H7" s="20" t="str">
        <f t="shared" si="1"/>
        <v/>
      </c>
      <c r="I7" s="21" t="str">
        <f>'Inputs — DFs'!Y8</f>
        <v/>
      </c>
      <c r="J7" s="22"/>
      <c r="K7" s="23"/>
      <c r="L7" s="24" t="str">
        <f>'Inputs — DFs'!Z8</f>
        <v/>
      </c>
      <c r="M7" s="18">
        <f>'Inputs — DFs'!AA8</f>
        <v>0</v>
      </c>
      <c r="N7" s="20" t="str">
        <f t="shared" si="2"/>
        <v/>
      </c>
      <c r="O7" s="25"/>
      <c r="P7" s="25"/>
      <c r="Q7" s="25"/>
      <c r="R7" s="25"/>
    </row>
    <row r="8" spans="1:26" ht="16.5" customHeight="1" x14ac:dyDescent="0.2">
      <c r="A8" s="26" t="s">
        <v>30</v>
      </c>
      <c r="B8" s="27" t="s">
        <v>31</v>
      </c>
      <c r="C8" s="28" t="s">
        <v>32</v>
      </c>
      <c r="D8" s="29">
        <f>'Inputs — DFs'!Q9</f>
        <v>0</v>
      </c>
      <c r="E8" s="29">
        <f>'Inputs — DFs'!S9</f>
        <v>0</v>
      </c>
      <c r="F8" s="30">
        <f t="shared" si="0"/>
        <v>0</v>
      </c>
      <c r="G8" s="29">
        <f>'Inputs — DFs'!V9</f>
        <v>0</v>
      </c>
      <c r="H8" s="31" t="str">
        <f t="shared" si="1"/>
        <v/>
      </c>
      <c r="I8" s="32" t="str">
        <f>'Inputs — DFs'!Y9</f>
        <v/>
      </c>
      <c r="J8" s="33"/>
      <c r="K8" s="34"/>
      <c r="L8" s="35" t="str">
        <f>'Inputs — DFs'!Z9</f>
        <v/>
      </c>
      <c r="M8" s="29">
        <f>'Inputs — DFs'!AA9</f>
        <v>0</v>
      </c>
      <c r="N8" s="31" t="str">
        <f t="shared" si="2"/>
        <v/>
      </c>
      <c r="O8" s="36"/>
      <c r="P8" s="36"/>
      <c r="Q8" s="36"/>
      <c r="R8" s="36"/>
    </row>
    <row r="9" spans="1:26" ht="16.5" customHeight="1" x14ac:dyDescent="0.2">
      <c r="A9" s="15" t="s">
        <v>33</v>
      </c>
      <c r="B9" s="16" t="s">
        <v>34</v>
      </c>
      <c r="C9" s="17" t="s">
        <v>32</v>
      </c>
      <c r="D9" s="18">
        <f>'Inputs — DFs'!Q10</f>
        <v>0</v>
      </c>
      <c r="E9" s="18">
        <f>'Inputs — DFs'!S10</f>
        <v>0</v>
      </c>
      <c r="F9" s="19">
        <f t="shared" si="0"/>
        <v>0</v>
      </c>
      <c r="G9" s="18">
        <f>'Inputs — DFs'!V10</f>
        <v>0</v>
      </c>
      <c r="H9" s="20" t="str">
        <f t="shared" si="1"/>
        <v/>
      </c>
      <c r="I9" s="21" t="str">
        <f>'Inputs — DFs'!Y10</f>
        <v/>
      </c>
      <c r="J9" s="22"/>
      <c r="K9" s="23"/>
      <c r="L9" s="24" t="str">
        <f>'Inputs — DFs'!Z10</f>
        <v/>
      </c>
      <c r="M9" s="18">
        <f>'Inputs — DFs'!AA10</f>
        <v>0</v>
      </c>
      <c r="N9" s="20" t="str">
        <f t="shared" si="2"/>
        <v/>
      </c>
      <c r="O9" s="25"/>
      <c r="P9" s="25"/>
      <c r="Q9" s="25"/>
      <c r="R9" s="25"/>
    </row>
    <row r="10" spans="1:26" ht="16.5" customHeight="1" x14ac:dyDescent="0.2">
      <c r="A10" s="26" t="s">
        <v>35</v>
      </c>
      <c r="B10" s="27" t="s">
        <v>36</v>
      </c>
      <c r="C10" s="28" t="s">
        <v>32</v>
      </c>
      <c r="D10" s="29">
        <f>'Inputs — DFs'!Q11</f>
        <v>0</v>
      </c>
      <c r="E10" s="29">
        <f>'Inputs — DFs'!S11</f>
        <v>0</v>
      </c>
      <c r="F10" s="30">
        <f t="shared" si="0"/>
        <v>0</v>
      </c>
      <c r="G10" s="29">
        <f>'Inputs — DFs'!V11</f>
        <v>0</v>
      </c>
      <c r="H10" s="31" t="str">
        <f t="shared" si="1"/>
        <v/>
      </c>
      <c r="I10" s="32" t="str">
        <f>'Inputs — DFs'!Y11</f>
        <v/>
      </c>
      <c r="J10" s="33"/>
      <c r="K10" s="34"/>
      <c r="L10" s="35" t="str">
        <f>'Inputs — DFs'!Z11</f>
        <v/>
      </c>
      <c r="M10" s="29">
        <f>'Inputs — DFs'!AA11</f>
        <v>0</v>
      </c>
      <c r="N10" s="31" t="str">
        <f t="shared" si="2"/>
        <v/>
      </c>
      <c r="O10" s="36"/>
      <c r="P10" s="36"/>
      <c r="Q10" s="36"/>
      <c r="R10" s="36"/>
    </row>
    <row r="11" spans="1:26" ht="16.5" customHeight="1" x14ac:dyDescent="0.2">
      <c r="A11" s="15" t="s">
        <v>37</v>
      </c>
      <c r="B11" s="16" t="s">
        <v>38</v>
      </c>
      <c r="C11" s="17" t="s">
        <v>32</v>
      </c>
      <c r="D11" s="18">
        <f>'Inputs — DFs'!Q12</f>
        <v>0</v>
      </c>
      <c r="E11" s="18">
        <f>'Inputs — DFs'!S12</f>
        <v>0</v>
      </c>
      <c r="F11" s="19">
        <f t="shared" si="0"/>
        <v>0</v>
      </c>
      <c r="G11" s="18">
        <f>'Inputs — DFs'!V12</f>
        <v>0</v>
      </c>
      <c r="H11" s="20" t="str">
        <f t="shared" si="1"/>
        <v/>
      </c>
      <c r="I11" s="21" t="str">
        <f>'Inputs — DFs'!Y12</f>
        <v/>
      </c>
      <c r="J11" s="22"/>
      <c r="K11" s="23"/>
      <c r="L11" s="24" t="str">
        <f>'Inputs — DFs'!Z12</f>
        <v/>
      </c>
      <c r="M11" s="18">
        <f>'Inputs — DFs'!AA12</f>
        <v>0</v>
      </c>
      <c r="N11" s="20" t="str">
        <f t="shared" si="2"/>
        <v/>
      </c>
      <c r="O11" s="25"/>
      <c r="P11" s="25"/>
      <c r="Q11" s="25"/>
      <c r="R11" s="25"/>
    </row>
    <row r="12" spans="1:26" ht="16.5" customHeight="1" x14ac:dyDescent="0.2">
      <c r="A12" s="26" t="s">
        <v>39</v>
      </c>
      <c r="B12" s="27" t="s">
        <v>38</v>
      </c>
      <c r="C12" s="28" t="s">
        <v>32</v>
      </c>
      <c r="D12" s="29">
        <f>'Inputs — DFs'!Q13</f>
        <v>0</v>
      </c>
      <c r="E12" s="29">
        <f>'Inputs — DFs'!S13</f>
        <v>0</v>
      </c>
      <c r="F12" s="30">
        <f t="shared" si="0"/>
        <v>0</v>
      </c>
      <c r="G12" s="29">
        <f>'Inputs — DFs'!V13</f>
        <v>0</v>
      </c>
      <c r="H12" s="31" t="str">
        <f t="shared" si="1"/>
        <v/>
      </c>
      <c r="I12" s="32" t="str">
        <f>'Inputs — DFs'!Y13</f>
        <v/>
      </c>
      <c r="J12" s="33"/>
      <c r="K12" s="34"/>
      <c r="L12" s="35" t="str">
        <f>'Inputs — DFs'!Z13</f>
        <v/>
      </c>
      <c r="M12" s="29">
        <f>'Inputs — DFs'!AA13</f>
        <v>0</v>
      </c>
      <c r="N12" s="31" t="str">
        <f t="shared" si="2"/>
        <v/>
      </c>
      <c r="O12" s="36"/>
      <c r="P12" s="36"/>
      <c r="Q12" s="36"/>
      <c r="R12" s="36"/>
    </row>
    <row r="13" spans="1:26" ht="16.5" customHeight="1" x14ac:dyDescent="0.2">
      <c r="A13" s="15" t="s">
        <v>40</v>
      </c>
      <c r="B13" s="16" t="s">
        <v>38</v>
      </c>
      <c r="C13" s="17" t="s">
        <v>32</v>
      </c>
      <c r="D13" s="18">
        <f>'Inputs — DFs'!Q14</f>
        <v>0</v>
      </c>
      <c r="E13" s="18">
        <f>'Inputs — DFs'!S14</f>
        <v>0</v>
      </c>
      <c r="F13" s="19">
        <f t="shared" si="0"/>
        <v>0</v>
      </c>
      <c r="G13" s="18">
        <f>'Inputs — DFs'!V14</f>
        <v>0</v>
      </c>
      <c r="H13" s="20" t="str">
        <f t="shared" si="1"/>
        <v/>
      </c>
      <c r="I13" s="21" t="str">
        <f>'Inputs — DFs'!Y14</f>
        <v/>
      </c>
      <c r="J13" s="22"/>
      <c r="K13" s="23"/>
      <c r="L13" s="24" t="str">
        <f>'Inputs — DFs'!Z14</f>
        <v/>
      </c>
      <c r="M13" s="18">
        <f>'Inputs — DFs'!AA14</f>
        <v>0</v>
      </c>
      <c r="N13" s="20" t="str">
        <f t="shared" si="2"/>
        <v/>
      </c>
      <c r="O13" s="25"/>
      <c r="P13" s="25"/>
      <c r="Q13" s="25"/>
      <c r="R13" s="25"/>
    </row>
    <row r="14" spans="1:26" ht="16.5" customHeight="1" x14ac:dyDescent="0.2">
      <c r="A14" s="26" t="s">
        <v>41</v>
      </c>
      <c r="B14" s="27" t="s">
        <v>38</v>
      </c>
      <c r="C14" s="28" t="s">
        <v>32</v>
      </c>
      <c r="D14" s="29">
        <f>'Inputs — DFs'!Q15</f>
        <v>0</v>
      </c>
      <c r="E14" s="29">
        <f>'Inputs — DFs'!S15</f>
        <v>0</v>
      </c>
      <c r="F14" s="30">
        <f t="shared" si="0"/>
        <v>0</v>
      </c>
      <c r="G14" s="29">
        <f>'Inputs — DFs'!V15</f>
        <v>0</v>
      </c>
      <c r="H14" s="31" t="str">
        <f t="shared" si="1"/>
        <v/>
      </c>
      <c r="I14" s="32" t="str">
        <f>'Inputs — DFs'!Y15</f>
        <v/>
      </c>
      <c r="J14" s="33"/>
      <c r="K14" s="34"/>
      <c r="L14" s="35" t="str">
        <f>'Inputs — DFs'!Z15</f>
        <v/>
      </c>
      <c r="M14" s="29">
        <f>'Inputs — DFs'!AA15</f>
        <v>0</v>
      </c>
      <c r="N14" s="31" t="str">
        <f t="shared" si="2"/>
        <v/>
      </c>
      <c r="O14" s="36"/>
      <c r="P14" s="36"/>
      <c r="Q14" s="36"/>
      <c r="R14" s="36"/>
    </row>
    <row r="15" spans="1:26" ht="16.5" customHeight="1" x14ac:dyDescent="0.2">
      <c r="A15" s="15" t="s">
        <v>42</v>
      </c>
      <c r="B15" s="16" t="s">
        <v>43</v>
      </c>
      <c r="C15" s="17" t="s">
        <v>32</v>
      </c>
      <c r="D15" s="18">
        <f>'Inputs — DFs'!Q16</f>
        <v>0</v>
      </c>
      <c r="E15" s="18">
        <f>'Inputs — DFs'!S16</f>
        <v>0</v>
      </c>
      <c r="F15" s="19">
        <f t="shared" si="0"/>
        <v>0</v>
      </c>
      <c r="G15" s="18">
        <f>'Inputs — DFs'!V16</f>
        <v>0</v>
      </c>
      <c r="H15" s="20" t="str">
        <f t="shared" si="1"/>
        <v/>
      </c>
      <c r="I15" s="21" t="str">
        <f>'Inputs — DFs'!Y16</f>
        <v/>
      </c>
      <c r="J15" s="22"/>
      <c r="K15" s="23"/>
      <c r="L15" s="24" t="str">
        <f>'Inputs — DFs'!Z16</f>
        <v/>
      </c>
      <c r="M15" s="18">
        <f>'Inputs — DFs'!AA16</f>
        <v>0</v>
      </c>
      <c r="N15" s="20" t="str">
        <f t="shared" si="2"/>
        <v/>
      </c>
      <c r="O15" s="25"/>
      <c r="P15" s="25"/>
      <c r="Q15" s="25"/>
      <c r="R15" s="25"/>
    </row>
    <row r="16" spans="1:26" ht="16.5" customHeight="1" x14ac:dyDescent="0.2">
      <c r="A16" s="26" t="s">
        <v>44</v>
      </c>
      <c r="B16" s="27" t="s">
        <v>45</v>
      </c>
      <c r="C16" s="28" t="s">
        <v>46</v>
      </c>
      <c r="D16" s="29">
        <f>'Inputs — DFs'!Q17</f>
        <v>0</v>
      </c>
      <c r="E16" s="29">
        <f>'Inputs — DFs'!S17</f>
        <v>0</v>
      </c>
      <c r="F16" s="30">
        <f t="shared" si="0"/>
        <v>0</v>
      </c>
      <c r="G16" s="29">
        <f>'Inputs — DFs'!V17</f>
        <v>0</v>
      </c>
      <c r="H16" s="31" t="str">
        <f t="shared" si="1"/>
        <v/>
      </c>
      <c r="I16" s="32" t="str">
        <f>'Inputs — DFs'!Y17</f>
        <v/>
      </c>
      <c r="J16" s="33"/>
      <c r="K16" s="34"/>
      <c r="L16" s="35" t="str">
        <f>'Inputs — DFs'!Z17</f>
        <v/>
      </c>
      <c r="M16" s="29">
        <f>'Inputs — DFs'!AA17</f>
        <v>0</v>
      </c>
      <c r="N16" s="31" t="str">
        <f t="shared" si="2"/>
        <v/>
      </c>
      <c r="O16" s="36"/>
      <c r="P16" s="36"/>
      <c r="Q16" s="36"/>
      <c r="R16" s="36"/>
    </row>
    <row r="17" spans="1:18" ht="16.5" customHeight="1" x14ac:dyDescent="0.2">
      <c r="A17" s="15" t="s">
        <v>47</v>
      </c>
      <c r="B17" s="16" t="s">
        <v>48</v>
      </c>
      <c r="C17" s="17" t="s">
        <v>49</v>
      </c>
      <c r="D17" s="18">
        <f>'Inputs — DFs'!Q18</f>
        <v>0</v>
      </c>
      <c r="E17" s="18">
        <f>'Inputs — DFs'!S18</f>
        <v>0</v>
      </c>
      <c r="F17" s="19">
        <f t="shared" si="0"/>
        <v>0</v>
      </c>
      <c r="G17" s="18">
        <f>'Inputs — DFs'!V18</f>
        <v>0</v>
      </c>
      <c r="H17" s="20" t="str">
        <f t="shared" si="1"/>
        <v/>
      </c>
      <c r="I17" s="21" t="str">
        <f>'Inputs — DFs'!Y18</f>
        <v/>
      </c>
      <c r="J17" s="22"/>
      <c r="K17" s="23"/>
      <c r="L17" s="24" t="str">
        <f>'Inputs — DFs'!Z18</f>
        <v/>
      </c>
      <c r="M17" s="18">
        <f>'Inputs — DFs'!AA18</f>
        <v>0</v>
      </c>
      <c r="N17" s="20" t="str">
        <f t="shared" si="2"/>
        <v/>
      </c>
      <c r="O17" s="25"/>
      <c r="P17" s="25"/>
      <c r="Q17" s="25"/>
      <c r="R17" s="25"/>
    </row>
    <row r="18" spans="1:18" ht="16.5" customHeight="1" x14ac:dyDescent="0.2">
      <c r="A18" s="26" t="s">
        <v>50</v>
      </c>
      <c r="B18" s="27" t="s">
        <v>51</v>
      </c>
      <c r="C18" s="28" t="s">
        <v>49</v>
      </c>
      <c r="D18" s="29">
        <f>'Inputs — DFs'!Q19</f>
        <v>0</v>
      </c>
      <c r="E18" s="29">
        <f>'Inputs — DFs'!S19</f>
        <v>0</v>
      </c>
      <c r="F18" s="30">
        <f t="shared" si="0"/>
        <v>0</v>
      </c>
      <c r="G18" s="29">
        <f>'Inputs — DFs'!V19</f>
        <v>0</v>
      </c>
      <c r="H18" s="31" t="str">
        <f t="shared" si="1"/>
        <v/>
      </c>
      <c r="I18" s="32" t="str">
        <f>'Inputs — DFs'!Y19</f>
        <v/>
      </c>
      <c r="J18" s="33"/>
      <c r="K18" s="34"/>
      <c r="L18" s="35" t="str">
        <f>'Inputs — DFs'!Z19</f>
        <v/>
      </c>
      <c r="M18" s="29">
        <f>'Inputs — DFs'!AA19</f>
        <v>0</v>
      </c>
      <c r="N18" s="31" t="str">
        <f t="shared" si="2"/>
        <v/>
      </c>
      <c r="O18" s="36"/>
      <c r="P18" s="36"/>
      <c r="Q18" s="36"/>
      <c r="R18" s="36"/>
    </row>
    <row r="19" spans="1:18" ht="16.5" customHeight="1" x14ac:dyDescent="0.2">
      <c r="A19" s="15" t="s">
        <v>52</v>
      </c>
      <c r="B19" s="16" t="s">
        <v>53</v>
      </c>
      <c r="C19" s="17" t="s">
        <v>54</v>
      </c>
      <c r="D19" s="18">
        <f>'Inputs — DFs'!Q20</f>
        <v>0</v>
      </c>
      <c r="E19" s="18">
        <f>'Inputs — DFs'!S20</f>
        <v>0</v>
      </c>
      <c r="F19" s="19">
        <f t="shared" si="0"/>
        <v>0</v>
      </c>
      <c r="G19" s="18">
        <f>'Inputs — DFs'!V20</f>
        <v>0</v>
      </c>
      <c r="H19" s="20" t="str">
        <f t="shared" si="1"/>
        <v/>
      </c>
      <c r="I19" s="21" t="str">
        <f>'Inputs — DFs'!Y20</f>
        <v/>
      </c>
      <c r="J19" s="22"/>
      <c r="K19" s="23"/>
      <c r="L19" s="24" t="str">
        <f>'Inputs — DFs'!Z20</f>
        <v/>
      </c>
      <c r="M19" s="18">
        <f>'Inputs — DFs'!AA20</f>
        <v>0</v>
      </c>
      <c r="N19" s="20" t="str">
        <f t="shared" si="2"/>
        <v/>
      </c>
      <c r="O19" s="25"/>
      <c r="P19" s="25"/>
      <c r="Q19" s="25"/>
      <c r="R19" s="25"/>
    </row>
    <row r="20" spans="1:18" ht="16.5" customHeight="1" x14ac:dyDescent="0.2">
      <c r="A20" s="26" t="s">
        <v>55</v>
      </c>
      <c r="B20" s="27" t="s">
        <v>56</v>
      </c>
      <c r="C20" s="28" t="s">
        <v>57</v>
      </c>
      <c r="D20" s="29">
        <f>'Inputs — DFs'!Q21</f>
        <v>0</v>
      </c>
      <c r="E20" s="29">
        <f>'Inputs — DFs'!S21</f>
        <v>0</v>
      </c>
      <c r="F20" s="30">
        <f t="shared" si="0"/>
        <v>0</v>
      </c>
      <c r="G20" s="29">
        <f>'Inputs — DFs'!V21</f>
        <v>0</v>
      </c>
      <c r="H20" s="31" t="str">
        <f t="shared" si="1"/>
        <v/>
      </c>
      <c r="I20" s="32" t="str">
        <f>'Inputs — DFs'!Y21</f>
        <v/>
      </c>
      <c r="J20" s="33"/>
      <c r="K20" s="34"/>
      <c r="L20" s="35" t="str">
        <f>'Inputs — DFs'!Z21</f>
        <v/>
      </c>
      <c r="M20" s="29">
        <f>'Inputs — DFs'!AA21</f>
        <v>0</v>
      </c>
      <c r="N20" s="31" t="str">
        <f t="shared" si="2"/>
        <v/>
      </c>
      <c r="O20" s="36"/>
      <c r="P20" s="36"/>
      <c r="Q20" s="36"/>
      <c r="R20" s="36"/>
    </row>
    <row r="21" spans="1:18" ht="16.5" customHeight="1" x14ac:dyDescent="0.2">
      <c r="A21" s="15" t="s">
        <v>58</v>
      </c>
      <c r="B21" s="16" t="s">
        <v>59</v>
      </c>
      <c r="C21" s="17" t="s">
        <v>60</v>
      </c>
      <c r="D21" s="18">
        <f>'Inputs — DFs'!Q22</f>
        <v>0</v>
      </c>
      <c r="E21" s="18">
        <f>'Inputs — DFs'!S22</f>
        <v>0</v>
      </c>
      <c r="F21" s="19">
        <f t="shared" si="0"/>
        <v>0</v>
      </c>
      <c r="G21" s="18">
        <f>'Inputs — DFs'!V22</f>
        <v>0</v>
      </c>
      <c r="H21" s="20" t="str">
        <f t="shared" si="1"/>
        <v/>
      </c>
      <c r="I21" s="21" t="str">
        <f>'Inputs — DFs'!Y22</f>
        <v/>
      </c>
      <c r="J21" s="22"/>
      <c r="K21" s="23"/>
      <c r="L21" s="24" t="str">
        <f>'Inputs — DFs'!Z22</f>
        <v/>
      </c>
      <c r="M21" s="18">
        <f>'Inputs — DFs'!AA22</f>
        <v>0</v>
      </c>
      <c r="N21" s="20" t="str">
        <f t="shared" si="2"/>
        <v/>
      </c>
      <c r="O21" s="25"/>
      <c r="P21" s="25"/>
      <c r="Q21" s="25"/>
      <c r="R21" s="25"/>
    </row>
    <row r="22" spans="1:18" ht="16.5" customHeight="1" x14ac:dyDescent="0.2">
      <c r="A22" s="26" t="s">
        <v>61</v>
      </c>
      <c r="B22" s="27" t="s">
        <v>62</v>
      </c>
      <c r="C22" s="28" t="s">
        <v>63</v>
      </c>
      <c r="D22" s="29">
        <f>'Inputs — DFs'!Q23</f>
        <v>0</v>
      </c>
      <c r="E22" s="29">
        <f>'Inputs — DFs'!S23</f>
        <v>0</v>
      </c>
      <c r="F22" s="30">
        <f t="shared" si="0"/>
        <v>0</v>
      </c>
      <c r="G22" s="29">
        <f>'Inputs — DFs'!V23</f>
        <v>0</v>
      </c>
      <c r="H22" s="31" t="str">
        <f t="shared" si="1"/>
        <v/>
      </c>
      <c r="I22" s="32" t="str">
        <f>'Inputs — DFs'!Y23</f>
        <v/>
      </c>
      <c r="J22" s="33"/>
      <c r="K22" s="34"/>
      <c r="L22" s="35" t="str">
        <f>'Inputs — DFs'!Z23</f>
        <v/>
      </c>
      <c r="M22" s="29">
        <f>'Inputs — DFs'!AA23</f>
        <v>0</v>
      </c>
      <c r="N22" s="31" t="str">
        <f t="shared" si="2"/>
        <v/>
      </c>
      <c r="O22" s="36"/>
      <c r="P22" s="36"/>
      <c r="Q22" s="36"/>
      <c r="R22" s="36"/>
    </row>
    <row r="23" spans="1:18" ht="16.5" customHeight="1" x14ac:dyDescent="0.2">
      <c r="A23" s="15" t="s">
        <v>64</v>
      </c>
      <c r="B23" s="16" t="s">
        <v>65</v>
      </c>
      <c r="C23" s="17" t="s">
        <v>63</v>
      </c>
      <c r="D23" s="18">
        <f>'Inputs — DFs'!Q24</f>
        <v>0</v>
      </c>
      <c r="E23" s="18">
        <f>'Inputs — DFs'!S24</f>
        <v>0</v>
      </c>
      <c r="F23" s="19">
        <f t="shared" si="0"/>
        <v>0</v>
      </c>
      <c r="G23" s="18">
        <f>'Inputs — DFs'!V24</f>
        <v>0</v>
      </c>
      <c r="H23" s="20" t="str">
        <f t="shared" si="1"/>
        <v/>
      </c>
      <c r="I23" s="21" t="str">
        <f>'Inputs — DFs'!Y24</f>
        <v/>
      </c>
      <c r="J23" s="22"/>
      <c r="K23" s="23"/>
      <c r="L23" s="24" t="str">
        <f>'Inputs — DFs'!Z24</f>
        <v/>
      </c>
      <c r="M23" s="18">
        <f>'Inputs — DFs'!AA24</f>
        <v>0</v>
      </c>
      <c r="N23" s="20" t="str">
        <f t="shared" si="2"/>
        <v/>
      </c>
      <c r="O23" s="25"/>
      <c r="P23" s="25"/>
      <c r="Q23" s="25"/>
      <c r="R23" s="25"/>
    </row>
    <row r="24" spans="1:18" ht="16.5" customHeight="1" x14ac:dyDescent="0.2">
      <c r="A24" s="26" t="s">
        <v>66</v>
      </c>
      <c r="B24" s="27" t="s">
        <v>67</v>
      </c>
      <c r="C24" s="28" t="s">
        <v>63</v>
      </c>
      <c r="D24" s="29">
        <f>'Inputs — DFs'!Q25</f>
        <v>0</v>
      </c>
      <c r="E24" s="29">
        <f>'Inputs — DFs'!S25</f>
        <v>0</v>
      </c>
      <c r="F24" s="30">
        <f t="shared" si="0"/>
        <v>0</v>
      </c>
      <c r="G24" s="29">
        <f>'Inputs — DFs'!V25</f>
        <v>0</v>
      </c>
      <c r="H24" s="31" t="str">
        <f t="shared" si="1"/>
        <v/>
      </c>
      <c r="I24" s="32" t="str">
        <f>'Inputs — DFs'!Y25</f>
        <v/>
      </c>
      <c r="J24" s="33"/>
      <c r="K24" s="34"/>
      <c r="L24" s="35" t="str">
        <f>'Inputs — DFs'!Z25</f>
        <v/>
      </c>
      <c r="M24" s="29">
        <f>'Inputs — DFs'!AA25</f>
        <v>0</v>
      </c>
      <c r="N24" s="31" t="str">
        <f t="shared" si="2"/>
        <v/>
      </c>
      <c r="O24" s="36"/>
      <c r="P24" s="36"/>
      <c r="Q24" s="36"/>
      <c r="R24" s="36"/>
    </row>
    <row r="25" spans="1:18" ht="16.5" customHeight="1" x14ac:dyDescent="0.2">
      <c r="A25" s="15" t="s">
        <v>68</v>
      </c>
      <c r="B25" s="16" t="s">
        <v>69</v>
      </c>
      <c r="C25" s="17" t="s">
        <v>70</v>
      </c>
      <c r="D25" s="18">
        <f>'Inputs — DFs'!Q26</f>
        <v>0</v>
      </c>
      <c r="E25" s="18">
        <f>'Inputs — DFs'!S26</f>
        <v>0</v>
      </c>
      <c r="F25" s="19">
        <f t="shared" si="0"/>
        <v>0</v>
      </c>
      <c r="G25" s="18">
        <f>'Inputs — DFs'!V26</f>
        <v>0</v>
      </c>
      <c r="H25" s="20" t="str">
        <f t="shared" si="1"/>
        <v/>
      </c>
      <c r="I25" s="21" t="str">
        <f>'Inputs — DFs'!Y26</f>
        <v/>
      </c>
      <c r="J25" s="22"/>
      <c r="K25" s="23"/>
      <c r="L25" s="24" t="str">
        <f>'Inputs — DFs'!Z26</f>
        <v/>
      </c>
      <c r="M25" s="18">
        <f>'Inputs — DFs'!AA26</f>
        <v>0</v>
      </c>
      <c r="N25" s="20" t="str">
        <f t="shared" si="2"/>
        <v/>
      </c>
      <c r="O25" s="25"/>
      <c r="P25" s="25"/>
      <c r="Q25" s="25"/>
      <c r="R25" s="25"/>
    </row>
    <row r="26" spans="1:18" ht="16.5" customHeight="1" x14ac:dyDescent="0.2">
      <c r="A26" s="26" t="s">
        <v>71</v>
      </c>
      <c r="B26" s="27" t="s">
        <v>72</v>
      </c>
      <c r="C26" s="28" t="s">
        <v>73</v>
      </c>
      <c r="D26" s="29">
        <f>'Inputs — DFs'!Q27</f>
        <v>0</v>
      </c>
      <c r="E26" s="29">
        <f>'Inputs — DFs'!S27</f>
        <v>0</v>
      </c>
      <c r="F26" s="30">
        <f t="shared" si="0"/>
        <v>0</v>
      </c>
      <c r="G26" s="29">
        <f>'Inputs — DFs'!V27</f>
        <v>0</v>
      </c>
      <c r="H26" s="31" t="str">
        <f t="shared" si="1"/>
        <v/>
      </c>
      <c r="I26" s="32" t="str">
        <f>'Inputs — DFs'!Y27</f>
        <v/>
      </c>
      <c r="J26" s="33"/>
      <c r="K26" s="34"/>
      <c r="L26" s="35" t="str">
        <f>'Inputs — DFs'!Z27</f>
        <v/>
      </c>
      <c r="M26" s="29">
        <f>'Inputs — DFs'!AA27</f>
        <v>0</v>
      </c>
      <c r="N26" s="31" t="str">
        <f t="shared" si="2"/>
        <v/>
      </c>
      <c r="O26" s="36"/>
      <c r="P26" s="36"/>
      <c r="Q26" s="36"/>
      <c r="R26" s="36"/>
    </row>
    <row r="27" spans="1:18" ht="16.5" customHeight="1" x14ac:dyDescent="0.2">
      <c r="A27" s="15" t="s">
        <v>74</v>
      </c>
      <c r="B27" s="16" t="s">
        <v>75</v>
      </c>
      <c r="C27" s="17" t="s">
        <v>73</v>
      </c>
      <c r="D27" s="18">
        <f>'Inputs — DFs'!Q28</f>
        <v>0</v>
      </c>
      <c r="E27" s="18">
        <f>'Inputs — DFs'!S28</f>
        <v>0</v>
      </c>
      <c r="F27" s="19">
        <f t="shared" si="0"/>
        <v>0</v>
      </c>
      <c r="G27" s="18">
        <f>'Inputs — DFs'!V28</f>
        <v>0</v>
      </c>
      <c r="H27" s="20" t="str">
        <f t="shared" si="1"/>
        <v/>
      </c>
      <c r="I27" s="21" t="str">
        <f>'Inputs — DFs'!Y28</f>
        <v/>
      </c>
      <c r="J27" s="22"/>
      <c r="K27" s="23"/>
      <c r="L27" s="24" t="str">
        <f>'Inputs — DFs'!Z28</f>
        <v/>
      </c>
      <c r="M27" s="18">
        <f>'Inputs — DFs'!AA28</f>
        <v>0</v>
      </c>
      <c r="N27" s="20" t="str">
        <f t="shared" si="2"/>
        <v/>
      </c>
      <c r="O27" s="25"/>
      <c r="P27" s="25"/>
      <c r="Q27" s="25"/>
      <c r="R27" s="25"/>
    </row>
    <row r="28" spans="1:18" ht="16.5" customHeight="1" x14ac:dyDescent="0.2">
      <c r="A28" s="26" t="s">
        <v>76</v>
      </c>
      <c r="B28" s="27" t="s">
        <v>77</v>
      </c>
      <c r="C28" s="28" t="s">
        <v>78</v>
      </c>
      <c r="D28" s="29">
        <f>'Inputs — DFs'!Q29</f>
        <v>0</v>
      </c>
      <c r="E28" s="29">
        <f>'Inputs — DFs'!S29</f>
        <v>0</v>
      </c>
      <c r="F28" s="30">
        <f t="shared" si="0"/>
        <v>0</v>
      </c>
      <c r="G28" s="29">
        <f>'Inputs — DFs'!V29</f>
        <v>0</v>
      </c>
      <c r="H28" s="31" t="str">
        <f t="shared" si="1"/>
        <v/>
      </c>
      <c r="I28" s="32" t="str">
        <f>'Inputs — DFs'!Y29</f>
        <v/>
      </c>
      <c r="J28" s="33"/>
      <c r="K28" s="34"/>
      <c r="L28" s="35" t="str">
        <f>'Inputs — DFs'!Z29</f>
        <v/>
      </c>
      <c r="M28" s="29">
        <f>'Inputs — DFs'!AA29</f>
        <v>0</v>
      </c>
      <c r="N28" s="31" t="str">
        <f t="shared" si="2"/>
        <v/>
      </c>
      <c r="O28" s="36"/>
      <c r="P28" s="36"/>
      <c r="Q28" s="36"/>
      <c r="R28" s="36"/>
    </row>
    <row r="29" spans="1:18" ht="16.5" customHeight="1" x14ac:dyDescent="0.2">
      <c r="A29" s="15" t="s">
        <v>79</v>
      </c>
      <c r="B29" s="16" t="s">
        <v>80</v>
      </c>
      <c r="C29" s="17" t="s">
        <v>81</v>
      </c>
      <c r="D29" s="18">
        <f>'Inputs — DFs'!Q30</f>
        <v>0</v>
      </c>
      <c r="E29" s="18">
        <f>'Inputs — DFs'!S30</f>
        <v>0</v>
      </c>
      <c r="F29" s="19">
        <f t="shared" si="0"/>
        <v>0</v>
      </c>
      <c r="G29" s="18">
        <f>'Inputs — DFs'!V30</f>
        <v>0</v>
      </c>
      <c r="H29" s="20" t="str">
        <f t="shared" si="1"/>
        <v/>
      </c>
      <c r="I29" s="21" t="str">
        <f>'Inputs — DFs'!Y30</f>
        <v/>
      </c>
      <c r="J29" s="22"/>
      <c r="K29" s="23"/>
      <c r="L29" s="24" t="str">
        <f>'Inputs — DFs'!Z30</f>
        <v/>
      </c>
      <c r="M29" s="18">
        <f>'Inputs — DFs'!AA30</f>
        <v>0</v>
      </c>
      <c r="N29" s="20" t="str">
        <f t="shared" si="2"/>
        <v/>
      </c>
      <c r="O29" s="25"/>
      <c r="P29" s="25"/>
      <c r="Q29" s="25"/>
      <c r="R29" s="25"/>
    </row>
    <row r="30" spans="1:18" ht="16.5" customHeight="1" x14ac:dyDescent="0.2">
      <c r="A30" s="26" t="s">
        <v>82</v>
      </c>
      <c r="B30" s="27" t="s">
        <v>83</v>
      </c>
      <c r="C30" s="28" t="s">
        <v>84</v>
      </c>
      <c r="D30" s="29">
        <f>'Inputs — DFs'!Q31</f>
        <v>0</v>
      </c>
      <c r="E30" s="29">
        <f>'Inputs — DFs'!S31</f>
        <v>0</v>
      </c>
      <c r="F30" s="30">
        <f t="shared" si="0"/>
        <v>0</v>
      </c>
      <c r="G30" s="29">
        <f>'Inputs — DFs'!V31</f>
        <v>0</v>
      </c>
      <c r="H30" s="31" t="str">
        <f t="shared" si="1"/>
        <v/>
      </c>
      <c r="I30" s="32" t="str">
        <f>'Inputs — DFs'!Y31</f>
        <v/>
      </c>
      <c r="J30" s="33"/>
      <c r="K30" s="34"/>
      <c r="L30" s="35" t="str">
        <f>'Inputs — DFs'!Z31</f>
        <v/>
      </c>
      <c r="M30" s="29">
        <f>'Inputs — DFs'!AA31</f>
        <v>0</v>
      </c>
      <c r="N30" s="31" t="str">
        <f t="shared" si="2"/>
        <v/>
      </c>
      <c r="O30" s="36"/>
      <c r="P30" s="36"/>
      <c r="Q30" s="36"/>
      <c r="R30" s="36"/>
    </row>
    <row r="31" spans="1:18" ht="16.5" customHeight="1" x14ac:dyDescent="0.2">
      <c r="A31" s="15" t="s">
        <v>85</v>
      </c>
      <c r="B31" s="16" t="s">
        <v>86</v>
      </c>
      <c r="C31" s="17" t="s">
        <v>84</v>
      </c>
      <c r="D31" s="18">
        <f>'Inputs — DFs'!Q32</f>
        <v>0</v>
      </c>
      <c r="E31" s="18">
        <f>'Inputs — DFs'!S32</f>
        <v>0</v>
      </c>
      <c r="F31" s="19">
        <f t="shared" si="0"/>
        <v>0</v>
      </c>
      <c r="G31" s="18">
        <f>'Inputs — DFs'!V32</f>
        <v>0</v>
      </c>
      <c r="H31" s="20" t="str">
        <f t="shared" si="1"/>
        <v/>
      </c>
      <c r="I31" s="21" t="str">
        <f>'Inputs — DFs'!Y32</f>
        <v/>
      </c>
      <c r="J31" s="22"/>
      <c r="K31" s="23"/>
      <c r="L31" s="24" t="str">
        <f>'Inputs — DFs'!Z32</f>
        <v/>
      </c>
      <c r="M31" s="18">
        <f>'Inputs — DFs'!AA32</f>
        <v>0</v>
      </c>
      <c r="N31" s="20" t="str">
        <f t="shared" si="2"/>
        <v/>
      </c>
      <c r="O31" s="25"/>
      <c r="P31" s="25"/>
      <c r="Q31" s="25"/>
      <c r="R31" s="25"/>
    </row>
    <row r="32" spans="1:18" ht="16.5" customHeight="1" x14ac:dyDescent="0.2">
      <c r="A32" s="26" t="s">
        <v>87</v>
      </c>
      <c r="B32" s="27" t="s">
        <v>88</v>
      </c>
      <c r="C32" s="28" t="s">
        <v>89</v>
      </c>
      <c r="D32" s="29">
        <f>'Inputs — DFs'!Q33</f>
        <v>0</v>
      </c>
      <c r="E32" s="29">
        <f>'Inputs — DFs'!S33</f>
        <v>0</v>
      </c>
      <c r="F32" s="30">
        <f t="shared" si="0"/>
        <v>0</v>
      </c>
      <c r="G32" s="29">
        <f>'Inputs — DFs'!V33</f>
        <v>0</v>
      </c>
      <c r="H32" s="31" t="str">
        <f t="shared" si="1"/>
        <v/>
      </c>
      <c r="I32" s="32" t="str">
        <f>'Inputs — DFs'!Y33</f>
        <v/>
      </c>
      <c r="J32" s="33"/>
      <c r="K32" s="34"/>
      <c r="L32" s="35" t="str">
        <f>'Inputs — DFs'!Z33</f>
        <v/>
      </c>
      <c r="M32" s="29">
        <f>'Inputs — DFs'!AA33</f>
        <v>0</v>
      </c>
      <c r="N32" s="31" t="str">
        <f t="shared" si="2"/>
        <v/>
      </c>
      <c r="O32" s="36"/>
      <c r="P32" s="36"/>
      <c r="Q32" s="36"/>
      <c r="R32" s="36"/>
    </row>
    <row r="33" spans="1:18" ht="16.5" customHeight="1" x14ac:dyDescent="0.2">
      <c r="A33" s="15" t="s">
        <v>90</v>
      </c>
      <c r="B33" s="16" t="s">
        <v>91</v>
      </c>
      <c r="C33" s="17" t="s">
        <v>89</v>
      </c>
      <c r="D33" s="18">
        <f>'Inputs — DFs'!Q34</f>
        <v>0</v>
      </c>
      <c r="E33" s="18">
        <f>'Inputs — DFs'!S34</f>
        <v>0</v>
      </c>
      <c r="F33" s="19">
        <f t="shared" si="0"/>
        <v>0</v>
      </c>
      <c r="G33" s="18">
        <f>'Inputs — DFs'!V34</f>
        <v>0</v>
      </c>
      <c r="H33" s="20" t="str">
        <f t="shared" si="1"/>
        <v/>
      </c>
      <c r="I33" s="21" t="str">
        <f>'Inputs — DFs'!Y34</f>
        <v/>
      </c>
      <c r="J33" s="22"/>
      <c r="K33" s="23"/>
      <c r="L33" s="24" t="str">
        <f>'Inputs — DFs'!Z34</f>
        <v/>
      </c>
      <c r="M33" s="18">
        <f>'Inputs — DFs'!AA34</f>
        <v>0</v>
      </c>
      <c r="N33" s="20" t="str">
        <f t="shared" si="2"/>
        <v/>
      </c>
      <c r="O33" s="25"/>
      <c r="P33" s="25"/>
      <c r="Q33" s="25"/>
      <c r="R33" s="25"/>
    </row>
    <row r="34" spans="1:18" ht="16.5" customHeight="1" x14ac:dyDescent="0.2">
      <c r="A34" s="26" t="s">
        <v>92</v>
      </c>
      <c r="B34" s="27" t="s">
        <v>93</v>
      </c>
      <c r="C34" s="28" t="s">
        <v>89</v>
      </c>
      <c r="D34" s="29">
        <f>'Inputs — DFs'!Q35</f>
        <v>0</v>
      </c>
      <c r="E34" s="29">
        <f>'Inputs — DFs'!S35</f>
        <v>0</v>
      </c>
      <c r="F34" s="30">
        <f t="shared" si="0"/>
        <v>0</v>
      </c>
      <c r="G34" s="29">
        <f>'Inputs — DFs'!V35</f>
        <v>0</v>
      </c>
      <c r="H34" s="31" t="str">
        <f t="shared" si="1"/>
        <v/>
      </c>
      <c r="I34" s="32" t="str">
        <f>'Inputs — DFs'!Y35</f>
        <v/>
      </c>
      <c r="J34" s="33"/>
      <c r="K34" s="34"/>
      <c r="L34" s="35" t="str">
        <f>'Inputs — DFs'!Z35</f>
        <v/>
      </c>
      <c r="M34" s="29">
        <f>'Inputs — DFs'!AA35</f>
        <v>0</v>
      </c>
      <c r="N34" s="31" t="str">
        <f t="shared" si="2"/>
        <v/>
      </c>
      <c r="O34" s="36"/>
      <c r="P34" s="36"/>
      <c r="Q34" s="36"/>
      <c r="R34" s="36"/>
    </row>
    <row r="35" spans="1:18" ht="16.5" customHeight="1" x14ac:dyDescent="0.2">
      <c r="A35" s="15" t="s">
        <v>94</v>
      </c>
      <c r="B35" s="16" t="s">
        <v>95</v>
      </c>
      <c r="C35" s="17" t="s">
        <v>96</v>
      </c>
      <c r="D35" s="18">
        <f>'Inputs — DFs'!Q36</f>
        <v>0</v>
      </c>
      <c r="E35" s="18">
        <f>'Inputs — DFs'!S36</f>
        <v>0</v>
      </c>
      <c r="F35" s="19">
        <f t="shared" si="0"/>
        <v>0</v>
      </c>
      <c r="G35" s="18">
        <f>'Inputs — DFs'!V36</f>
        <v>0</v>
      </c>
      <c r="H35" s="20" t="str">
        <f t="shared" si="1"/>
        <v/>
      </c>
      <c r="I35" s="21" t="str">
        <f>'Inputs — DFs'!Y36</f>
        <v/>
      </c>
      <c r="J35" s="22"/>
      <c r="K35" s="23"/>
      <c r="L35" s="24" t="str">
        <f>'Inputs — DFs'!Z36</f>
        <v/>
      </c>
      <c r="M35" s="18">
        <f>'Inputs — DFs'!AA36</f>
        <v>0</v>
      </c>
      <c r="N35" s="20" t="str">
        <f t="shared" si="2"/>
        <v/>
      </c>
      <c r="O35" s="25"/>
      <c r="P35" s="25"/>
      <c r="Q35" s="25"/>
      <c r="R35" s="25"/>
    </row>
    <row r="36" spans="1:18" ht="16.5" customHeight="1" x14ac:dyDescent="0.2">
      <c r="A36" s="26" t="s">
        <v>97</v>
      </c>
      <c r="B36" s="27" t="s">
        <v>98</v>
      </c>
      <c r="C36" s="28" t="s">
        <v>99</v>
      </c>
      <c r="D36" s="29">
        <f>'Inputs — DFs'!Q37</f>
        <v>0</v>
      </c>
      <c r="E36" s="29">
        <f>'Inputs — DFs'!S37</f>
        <v>0</v>
      </c>
      <c r="F36" s="30">
        <f t="shared" si="0"/>
        <v>0</v>
      </c>
      <c r="G36" s="29">
        <f>'Inputs — DFs'!V37</f>
        <v>0</v>
      </c>
      <c r="H36" s="31" t="str">
        <f t="shared" si="1"/>
        <v/>
      </c>
      <c r="I36" s="32" t="str">
        <f>'Inputs — DFs'!Y37</f>
        <v/>
      </c>
      <c r="J36" s="33"/>
      <c r="K36" s="34"/>
      <c r="L36" s="35" t="str">
        <f>'Inputs — DFs'!Z37</f>
        <v/>
      </c>
      <c r="M36" s="29">
        <f>'Inputs — DFs'!AA37</f>
        <v>0</v>
      </c>
      <c r="N36" s="31" t="str">
        <f t="shared" si="2"/>
        <v/>
      </c>
      <c r="O36" s="36"/>
      <c r="P36" s="36"/>
      <c r="Q36" s="36"/>
      <c r="R36" s="36"/>
    </row>
    <row r="37" spans="1:18" ht="16.5" customHeight="1" x14ac:dyDescent="0.2">
      <c r="A37" s="15" t="s">
        <v>100</v>
      </c>
      <c r="B37" s="16" t="s">
        <v>101</v>
      </c>
      <c r="C37" s="17" t="s">
        <v>102</v>
      </c>
      <c r="D37" s="18">
        <f>'Inputs — DFs'!Q38</f>
        <v>0</v>
      </c>
      <c r="E37" s="18">
        <f>'Inputs — DFs'!S38</f>
        <v>0</v>
      </c>
      <c r="F37" s="19">
        <f t="shared" si="0"/>
        <v>0</v>
      </c>
      <c r="G37" s="18">
        <f>'Inputs — DFs'!V38</f>
        <v>0</v>
      </c>
      <c r="H37" s="20" t="str">
        <f t="shared" si="1"/>
        <v/>
      </c>
      <c r="I37" s="21" t="str">
        <f>'Inputs — DFs'!Y38</f>
        <v/>
      </c>
      <c r="J37" s="22"/>
      <c r="K37" s="23"/>
      <c r="L37" s="24" t="str">
        <f>'Inputs — DFs'!Z38</f>
        <v/>
      </c>
      <c r="M37" s="18">
        <f>'Inputs — DFs'!AA38</f>
        <v>0</v>
      </c>
      <c r="N37" s="20" t="str">
        <f t="shared" si="2"/>
        <v/>
      </c>
      <c r="O37" s="25"/>
      <c r="P37" s="25"/>
      <c r="Q37" s="25"/>
      <c r="R37" s="25"/>
    </row>
    <row r="38" spans="1:18" ht="16.5" customHeight="1" x14ac:dyDescent="0.2">
      <c r="A38" s="26" t="s">
        <v>103</v>
      </c>
      <c r="B38" s="27" t="s">
        <v>104</v>
      </c>
      <c r="C38" s="28" t="s">
        <v>105</v>
      </c>
      <c r="D38" s="29">
        <f>'Inputs — DFs'!Q39</f>
        <v>0</v>
      </c>
      <c r="E38" s="29">
        <f>'Inputs — DFs'!S39</f>
        <v>0</v>
      </c>
      <c r="F38" s="30">
        <f t="shared" si="0"/>
        <v>0</v>
      </c>
      <c r="G38" s="29">
        <f>'Inputs — DFs'!V39</f>
        <v>0</v>
      </c>
      <c r="H38" s="31" t="str">
        <f t="shared" si="1"/>
        <v/>
      </c>
      <c r="I38" s="32" t="str">
        <f>'Inputs — DFs'!Y39</f>
        <v/>
      </c>
      <c r="J38" s="33"/>
      <c r="K38" s="34"/>
      <c r="L38" s="35" t="str">
        <f>'Inputs — DFs'!Z39</f>
        <v/>
      </c>
      <c r="M38" s="29">
        <f>'Inputs — DFs'!AA39</f>
        <v>0</v>
      </c>
      <c r="N38" s="31" t="str">
        <f t="shared" si="2"/>
        <v/>
      </c>
      <c r="O38" s="36"/>
      <c r="P38" s="36"/>
      <c r="Q38" s="36"/>
      <c r="R38" s="36"/>
    </row>
    <row r="39" spans="1:18" ht="16.5" customHeight="1" x14ac:dyDescent="0.2">
      <c r="A39" s="15" t="s">
        <v>106</v>
      </c>
      <c r="B39" s="16" t="s">
        <v>107</v>
      </c>
      <c r="C39" s="17" t="s">
        <v>108</v>
      </c>
      <c r="D39" s="18">
        <f>'Inputs — DFs'!Q40</f>
        <v>0</v>
      </c>
      <c r="E39" s="18">
        <f>'Inputs — DFs'!S40</f>
        <v>0</v>
      </c>
      <c r="F39" s="19">
        <f t="shared" si="0"/>
        <v>0</v>
      </c>
      <c r="G39" s="18">
        <f>'Inputs — DFs'!V40</f>
        <v>0</v>
      </c>
      <c r="H39" s="20" t="str">
        <f t="shared" si="1"/>
        <v/>
      </c>
      <c r="I39" s="21" t="str">
        <f>'Inputs — DFs'!Y40</f>
        <v/>
      </c>
      <c r="J39" s="22"/>
      <c r="K39" s="23"/>
      <c r="L39" s="24" t="str">
        <f>'Inputs — DFs'!Z40</f>
        <v/>
      </c>
      <c r="M39" s="18">
        <f>'Inputs — DFs'!AA40</f>
        <v>0</v>
      </c>
      <c r="N39" s="20" t="str">
        <f t="shared" si="2"/>
        <v/>
      </c>
      <c r="O39" s="25"/>
      <c r="P39" s="25"/>
      <c r="Q39" s="25"/>
      <c r="R39" s="25"/>
    </row>
    <row r="40" spans="1:18" ht="16.5" customHeight="1" x14ac:dyDescent="0.2">
      <c r="A40" s="26" t="s">
        <v>109</v>
      </c>
      <c r="B40" s="27" t="s">
        <v>110</v>
      </c>
      <c r="C40" s="28" t="s">
        <v>111</v>
      </c>
      <c r="D40" s="29">
        <f>'Inputs — DFs'!Q41</f>
        <v>0</v>
      </c>
      <c r="E40" s="29">
        <f>'Inputs — DFs'!S41</f>
        <v>0</v>
      </c>
      <c r="F40" s="30">
        <f t="shared" si="0"/>
        <v>0</v>
      </c>
      <c r="G40" s="29">
        <f>'Inputs — DFs'!V41</f>
        <v>0</v>
      </c>
      <c r="H40" s="31" t="str">
        <f t="shared" si="1"/>
        <v/>
      </c>
      <c r="I40" s="32" t="str">
        <f>'Inputs — DFs'!Y41</f>
        <v/>
      </c>
      <c r="J40" s="33"/>
      <c r="K40" s="34"/>
      <c r="L40" s="35" t="str">
        <f>'Inputs — DFs'!Z41</f>
        <v/>
      </c>
      <c r="M40" s="29">
        <f>'Inputs — DFs'!AA41</f>
        <v>0</v>
      </c>
      <c r="N40" s="31" t="str">
        <f t="shared" si="2"/>
        <v/>
      </c>
      <c r="O40" s="36"/>
      <c r="P40" s="36"/>
      <c r="Q40" s="36"/>
      <c r="R40" s="36"/>
    </row>
    <row r="41" spans="1:18" ht="16.5" customHeight="1" x14ac:dyDescent="0.2">
      <c r="A41" s="15" t="s">
        <v>112</v>
      </c>
      <c r="B41" s="16" t="s">
        <v>113</v>
      </c>
      <c r="C41" s="17" t="s">
        <v>111</v>
      </c>
      <c r="D41" s="18">
        <f>'Inputs — DFs'!Q42</f>
        <v>0</v>
      </c>
      <c r="E41" s="18">
        <f>'Inputs — DFs'!S42</f>
        <v>0</v>
      </c>
      <c r="F41" s="19">
        <f t="shared" si="0"/>
        <v>0</v>
      </c>
      <c r="G41" s="18">
        <f>'Inputs — DFs'!V42</f>
        <v>0</v>
      </c>
      <c r="H41" s="20" t="str">
        <f t="shared" si="1"/>
        <v/>
      </c>
      <c r="I41" s="21" t="str">
        <f>'Inputs — DFs'!Y42</f>
        <v/>
      </c>
      <c r="J41" s="22"/>
      <c r="K41" s="23"/>
      <c r="L41" s="24" t="str">
        <f>'Inputs — DFs'!Z42</f>
        <v/>
      </c>
      <c r="M41" s="18">
        <f>'Inputs — DFs'!AA42</f>
        <v>0</v>
      </c>
      <c r="N41" s="20" t="str">
        <f t="shared" si="2"/>
        <v/>
      </c>
      <c r="O41" s="25"/>
      <c r="P41" s="25"/>
      <c r="Q41" s="25"/>
      <c r="R41" s="25"/>
    </row>
    <row r="42" spans="1:18" ht="16.5" customHeight="1" x14ac:dyDescent="0.2">
      <c r="A42" s="26" t="s">
        <v>114</v>
      </c>
      <c r="B42" s="27" t="s">
        <v>115</v>
      </c>
      <c r="C42" s="28" t="s">
        <v>111</v>
      </c>
      <c r="D42" s="29">
        <f>'Inputs — DFs'!Q43</f>
        <v>0</v>
      </c>
      <c r="E42" s="29">
        <f>'Inputs — DFs'!S43</f>
        <v>0</v>
      </c>
      <c r="F42" s="30">
        <f t="shared" si="0"/>
        <v>0</v>
      </c>
      <c r="G42" s="29">
        <f>'Inputs — DFs'!V43</f>
        <v>0</v>
      </c>
      <c r="H42" s="31" t="str">
        <f t="shared" si="1"/>
        <v/>
      </c>
      <c r="I42" s="32" t="str">
        <f>'Inputs — DFs'!Y43</f>
        <v/>
      </c>
      <c r="J42" s="33"/>
      <c r="K42" s="34"/>
      <c r="L42" s="35" t="str">
        <f>'Inputs — DFs'!Z43</f>
        <v/>
      </c>
      <c r="M42" s="29">
        <f>'Inputs — DFs'!AA43</f>
        <v>0</v>
      </c>
      <c r="N42" s="31" t="str">
        <f t="shared" si="2"/>
        <v/>
      </c>
      <c r="O42" s="36"/>
      <c r="P42" s="36"/>
      <c r="Q42" s="36"/>
      <c r="R42" s="36"/>
    </row>
    <row r="43" spans="1:18" ht="16.5" customHeight="1" x14ac:dyDescent="0.2">
      <c r="A43" s="15" t="s">
        <v>116</v>
      </c>
      <c r="B43" s="16" t="s">
        <v>117</v>
      </c>
      <c r="C43" s="17" t="s">
        <v>118</v>
      </c>
      <c r="D43" s="18">
        <f>'Inputs — DFs'!Q44</f>
        <v>0</v>
      </c>
      <c r="E43" s="18">
        <f>'Inputs — DFs'!S44</f>
        <v>0</v>
      </c>
      <c r="F43" s="19">
        <f t="shared" si="0"/>
        <v>0</v>
      </c>
      <c r="G43" s="18">
        <f>'Inputs — DFs'!V44</f>
        <v>0</v>
      </c>
      <c r="H43" s="20" t="str">
        <f t="shared" si="1"/>
        <v/>
      </c>
      <c r="I43" s="21" t="str">
        <f>'Inputs — DFs'!Y44</f>
        <v/>
      </c>
      <c r="J43" s="22"/>
      <c r="K43" s="23"/>
      <c r="L43" s="24" t="str">
        <f>'Inputs — DFs'!Z44</f>
        <v/>
      </c>
      <c r="M43" s="18">
        <f>'Inputs — DFs'!AA44</f>
        <v>0</v>
      </c>
      <c r="N43" s="20" t="str">
        <f t="shared" si="2"/>
        <v/>
      </c>
      <c r="O43" s="25"/>
      <c r="P43" s="25"/>
      <c r="Q43" s="25"/>
      <c r="R43" s="25"/>
    </row>
    <row r="44" spans="1:18" ht="16.5" customHeight="1" x14ac:dyDescent="0.2">
      <c r="A44" s="26" t="s">
        <v>119</v>
      </c>
      <c r="B44" s="27" t="s">
        <v>120</v>
      </c>
      <c r="C44" s="28" t="s">
        <v>111</v>
      </c>
      <c r="D44" s="29">
        <f>'Inputs — DFs'!Q45</f>
        <v>0</v>
      </c>
      <c r="E44" s="29">
        <f>'Inputs — DFs'!S45</f>
        <v>0</v>
      </c>
      <c r="F44" s="30">
        <f t="shared" si="0"/>
        <v>0</v>
      </c>
      <c r="G44" s="29">
        <f>'Inputs — DFs'!V45</f>
        <v>0</v>
      </c>
      <c r="H44" s="31" t="str">
        <f t="shared" si="1"/>
        <v/>
      </c>
      <c r="I44" s="32" t="str">
        <f>'Inputs — DFs'!Y45</f>
        <v/>
      </c>
      <c r="J44" s="33"/>
      <c r="K44" s="34"/>
      <c r="L44" s="35" t="str">
        <f>'Inputs — DFs'!Z45</f>
        <v/>
      </c>
      <c r="M44" s="29">
        <f>'Inputs — DFs'!AA45</f>
        <v>0</v>
      </c>
      <c r="N44" s="31" t="str">
        <f t="shared" si="2"/>
        <v/>
      </c>
      <c r="O44" s="36"/>
      <c r="P44" s="36"/>
      <c r="Q44" s="36"/>
      <c r="R44" s="36"/>
    </row>
    <row r="45" spans="1:18" ht="16.5" customHeight="1" x14ac:dyDescent="0.2">
      <c r="A45" s="15" t="s">
        <v>121</v>
      </c>
      <c r="B45" s="16" t="s">
        <v>122</v>
      </c>
      <c r="C45" s="17" t="s">
        <v>111</v>
      </c>
      <c r="D45" s="18">
        <f>'Inputs — DFs'!Q46</f>
        <v>0</v>
      </c>
      <c r="E45" s="18">
        <f>'Inputs — DFs'!S46</f>
        <v>0</v>
      </c>
      <c r="F45" s="19">
        <f t="shared" si="0"/>
        <v>0</v>
      </c>
      <c r="G45" s="18">
        <f>'Inputs — DFs'!V46</f>
        <v>0</v>
      </c>
      <c r="H45" s="20" t="str">
        <f t="shared" si="1"/>
        <v/>
      </c>
      <c r="I45" s="21" t="str">
        <f>'Inputs — DFs'!Y46</f>
        <v/>
      </c>
      <c r="J45" s="22"/>
      <c r="K45" s="23"/>
      <c r="L45" s="24" t="str">
        <f>'Inputs — DFs'!Z46</f>
        <v/>
      </c>
      <c r="M45" s="18">
        <f>'Inputs — DFs'!AA46</f>
        <v>0</v>
      </c>
      <c r="N45" s="20" t="str">
        <f t="shared" si="2"/>
        <v/>
      </c>
      <c r="O45" s="25"/>
      <c r="P45" s="25"/>
      <c r="Q45" s="25"/>
      <c r="R45" s="25"/>
    </row>
    <row r="46" spans="1:18" ht="16.5" customHeight="1" x14ac:dyDescent="0.2">
      <c r="A46" s="26" t="s">
        <v>123</v>
      </c>
      <c r="B46" s="27" t="s">
        <v>124</v>
      </c>
      <c r="C46" s="28" t="s">
        <v>111</v>
      </c>
      <c r="D46" s="29">
        <f>'Inputs — DFs'!Q47</f>
        <v>0</v>
      </c>
      <c r="E46" s="29">
        <f>'Inputs — DFs'!S47</f>
        <v>0</v>
      </c>
      <c r="F46" s="30">
        <f t="shared" si="0"/>
        <v>0</v>
      </c>
      <c r="G46" s="29">
        <f>'Inputs — DFs'!V47</f>
        <v>0</v>
      </c>
      <c r="H46" s="31" t="str">
        <f t="shared" si="1"/>
        <v/>
      </c>
      <c r="I46" s="32" t="str">
        <f>'Inputs — DFs'!Y47</f>
        <v/>
      </c>
      <c r="J46" s="33"/>
      <c r="K46" s="34"/>
      <c r="L46" s="35" t="str">
        <f>'Inputs — DFs'!Z47</f>
        <v/>
      </c>
      <c r="M46" s="29">
        <f>'Inputs — DFs'!AA47</f>
        <v>0</v>
      </c>
      <c r="N46" s="31" t="str">
        <f t="shared" si="2"/>
        <v/>
      </c>
      <c r="O46" s="36"/>
      <c r="P46" s="36"/>
      <c r="Q46" s="36"/>
      <c r="R46" s="36"/>
    </row>
    <row r="47" spans="1:18" ht="16.5" customHeight="1" x14ac:dyDescent="0.2">
      <c r="A47" s="15" t="s">
        <v>125</v>
      </c>
      <c r="B47" s="16" t="s">
        <v>126</v>
      </c>
      <c r="C47" s="17" t="s">
        <v>111</v>
      </c>
      <c r="D47" s="18">
        <f>'Inputs — DFs'!Q48</f>
        <v>0</v>
      </c>
      <c r="E47" s="18">
        <f>'Inputs — DFs'!S48</f>
        <v>0</v>
      </c>
      <c r="F47" s="19">
        <f t="shared" si="0"/>
        <v>0</v>
      </c>
      <c r="G47" s="18">
        <f>'Inputs — DFs'!V48</f>
        <v>0</v>
      </c>
      <c r="H47" s="20" t="str">
        <f t="shared" si="1"/>
        <v/>
      </c>
      <c r="I47" s="21" t="str">
        <f>'Inputs — DFs'!Y48</f>
        <v/>
      </c>
      <c r="J47" s="22"/>
      <c r="K47" s="23"/>
      <c r="L47" s="24" t="str">
        <f>'Inputs — DFs'!Z48</f>
        <v/>
      </c>
      <c r="M47" s="18">
        <f>'Inputs — DFs'!AA48</f>
        <v>0</v>
      </c>
      <c r="N47" s="20" t="str">
        <f t="shared" si="2"/>
        <v/>
      </c>
      <c r="O47" s="25"/>
      <c r="P47" s="25"/>
      <c r="Q47" s="25"/>
      <c r="R47" s="25"/>
    </row>
    <row r="48" spans="1:18" ht="16.5" customHeight="1" x14ac:dyDescent="0.2">
      <c r="A48" s="26" t="s">
        <v>127</v>
      </c>
      <c r="B48" s="27" t="s">
        <v>38</v>
      </c>
      <c r="C48" s="28" t="s">
        <v>111</v>
      </c>
      <c r="D48" s="29">
        <f>'Inputs — DFs'!Q49</f>
        <v>0</v>
      </c>
      <c r="E48" s="29">
        <f>'Inputs — DFs'!S49</f>
        <v>0</v>
      </c>
      <c r="F48" s="30">
        <f t="shared" si="0"/>
        <v>0</v>
      </c>
      <c r="G48" s="29">
        <f>'Inputs — DFs'!V49</f>
        <v>0</v>
      </c>
      <c r="H48" s="31" t="str">
        <f t="shared" si="1"/>
        <v/>
      </c>
      <c r="I48" s="32" t="str">
        <f>'Inputs — DFs'!Y49</f>
        <v/>
      </c>
      <c r="J48" s="33"/>
      <c r="K48" s="34"/>
      <c r="L48" s="35" t="str">
        <f>'Inputs — DFs'!Z49</f>
        <v/>
      </c>
      <c r="M48" s="29">
        <f>'Inputs — DFs'!AA49</f>
        <v>0</v>
      </c>
      <c r="N48" s="31" t="str">
        <f t="shared" si="2"/>
        <v/>
      </c>
      <c r="O48" s="36"/>
      <c r="P48" s="36"/>
      <c r="Q48" s="36"/>
      <c r="R48" s="36"/>
    </row>
    <row r="49" spans="1:18" ht="16.5" customHeight="1" x14ac:dyDescent="0.2">
      <c r="A49" s="15" t="s">
        <v>128</v>
      </c>
      <c r="B49" s="16" t="s">
        <v>38</v>
      </c>
      <c r="C49" s="17" t="s">
        <v>111</v>
      </c>
      <c r="D49" s="18">
        <f>'Inputs — DFs'!Q50</f>
        <v>0</v>
      </c>
      <c r="E49" s="18">
        <f>'Inputs — DFs'!S50</f>
        <v>0</v>
      </c>
      <c r="F49" s="19">
        <f t="shared" si="0"/>
        <v>0</v>
      </c>
      <c r="G49" s="18">
        <f>'Inputs — DFs'!V50</f>
        <v>0</v>
      </c>
      <c r="H49" s="20" t="str">
        <f t="shared" si="1"/>
        <v/>
      </c>
      <c r="I49" s="21" t="str">
        <f>'Inputs — DFs'!Y50</f>
        <v/>
      </c>
      <c r="J49" s="22"/>
      <c r="K49" s="23"/>
      <c r="L49" s="24" t="str">
        <f>'Inputs — DFs'!Z50</f>
        <v/>
      </c>
      <c r="M49" s="18">
        <f>'Inputs — DFs'!AA50</f>
        <v>0</v>
      </c>
      <c r="N49" s="20" t="str">
        <f t="shared" si="2"/>
        <v/>
      </c>
      <c r="O49" s="25"/>
      <c r="P49" s="25"/>
      <c r="Q49" s="25"/>
      <c r="R49" s="25"/>
    </row>
    <row r="50" spans="1:18" ht="16.5" customHeight="1" x14ac:dyDescent="0.2">
      <c r="A50" s="26" t="s">
        <v>129</v>
      </c>
      <c r="B50" s="27" t="s">
        <v>130</v>
      </c>
      <c r="C50" s="28" t="s">
        <v>131</v>
      </c>
      <c r="D50" s="29">
        <f>'Inputs — DFs'!Q51</f>
        <v>0</v>
      </c>
      <c r="E50" s="29">
        <f>'Inputs — DFs'!S51</f>
        <v>0</v>
      </c>
      <c r="F50" s="30">
        <f t="shared" si="0"/>
        <v>0</v>
      </c>
      <c r="G50" s="29">
        <f>'Inputs — DFs'!V51</f>
        <v>0</v>
      </c>
      <c r="H50" s="31" t="str">
        <f t="shared" si="1"/>
        <v/>
      </c>
      <c r="I50" s="32" t="str">
        <f>'Inputs — DFs'!Y51</f>
        <v/>
      </c>
      <c r="J50" s="33"/>
      <c r="K50" s="34"/>
      <c r="L50" s="35" t="str">
        <f>'Inputs — DFs'!Z51</f>
        <v/>
      </c>
      <c r="M50" s="29">
        <f>'Inputs — DFs'!AA51</f>
        <v>0</v>
      </c>
      <c r="N50" s="31" t="str">
        <f t="shared" si="2"/>
        <v/>
      </c>
      <c r="O50" s="36"/>
      <c r="P50" s="36"/>
      <c r="Q50" s="36"/>
      <c r="R50" s="36"/>
    </row>
    <row r="51" spans="1:18" ht="15.75" customHeight="1" x14ac:dyDescent="0.2">
      <c r="A51" s="10" t="s">
        <v>132</v>
      </c>
      <c r="B51" s="10"/>
      <c r="C51" s="10"/>
      <c r="D51" s="37">
        <f>SUM(D5:D50)</f>
        <v>0</v>
      </c>
      <c r="E51" s="37">
        <f>SUM(E5:E50)</f>
        <v>0</v>
      </c>
      <c r="F51" s="37">
        <f>SUM(F5:F50)</f>
        <v>0</v>
      </c>
      <c r="G51" s="37">
        <f>SUM(G5:G50)</f>
        <v>0</v>
      </c>
      <c r="H51" s="38"/>
      <c r="I51" s="38"/>
      <c r="J51" s="38"/>
      <c r="K51" s="38"/>
      <c r="L51" s="38"/>
      <c r="M51" s="37">
        <f>SUM(M5:M50)</f>
        <v>0</v>
      </c>
      <c r="N51" s="38"/>
      <c r="O51" s="38"/>
      <c r="P51" s="38"/>
      <c r="Q51" s="38"/>
      <c r="R51" s="38"/>
    </row>
  </sheetData>
  <mergeCells count="6">
    <mergeCell ref="A51:C51"/>
    <mergeCell ref="A1:Z1"/>
    <mergeCell ref="A2:C2"/>
    <mergeCell ref="D2:N2"/>
    <mergeCell ref="O2:R2"/>
    <mergeCell ref="A4:R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AB5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B1"/>
    </sheetView>
  </sheetViews>
  <sheetFormatPr baseColWidth="10" defaultColWidth="8.6640625" defaultRowHeight="15" x14ac:dyDescent="0.2"/>
  <cols>
    <col min="1" max="1" width="22" customWidth="1"/>
    <col min="2" max="2" width="16" customWidth="1"/>
    <col min="3" max="4" width="14" customWidth="1"/>
    <col min="5" max="6" width="13" customWidth="1"/>
    <col min="7" max="12" width="14" customWidth="1"/>
    <col min="13" max="13" width="13" customWidth="1"/>
    <col min="14" max="16" width="14" customWidth="1"/>
    <col min="17" max="18" width="15" customWidth="1"/>
    <col min="19" max="19" width="14" customWidth="1"/>
    <col min="20" max="21" width="15" customWidth="1"/>
    <col min="22" max="22" width="14" customWidth="1"/>
    <col min="23" max="28" width="13" customWidth="1"/>
  </cols>
  <sheetData>
    <row r="1" spans="1:28" ht="15.75" customHeight="1" x14ac:dyDescent="0.2">
      <c r="A1" s="9" t="s">
        <v>133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2.75" customHeight="1" x14ac:dyDescent="0.2">
      <c r="A2" s="8" t="s">
        <v>134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8" customHeight="1" x14ac:dyDescent="0.2">
      <c r="A3" s="7" t="s">
        <v>1</v>
      </c>
      <c r="B3" s="7"/>
      <c r="C3" s="6" t="s">
        <v>135</v>
      </c>
      <c r="D3" s="6"/>
      <c r="E3" s="6"/>
      <c r="F3" s="6"/>
      <c r="G3" s="6"/>
      <c r="H3" s="6"/>
      <c r="I3" s="6" t="s">
        <v>136</v>
      </c>
      <c r="J3" s="6"/>
      <c r="K3" s="5" t="s">
        <v>137</v>
      </c>
      <c r="L3" s="5"/>
      <c r="M3" s="5"/>
      <c r="N3" s="5"/>
      <c r="O3" s="5"/>
      <c r="P3" s="5"/>
      <c r="Q3" s="4" t="s">
        <v>138</v>
      </c>
      <c r="R3" s="4"/>
      <c r="S3" s="4" t="s">
        <v>139</v>
      </c>
      <c r="T3" s="4"/>
      <c r="U3" s="4"/>
      <c r="V3" s="39" t="s">
        <v>140</v>
      </c>
      <c r="W3" s="4" t="s">
        <v>141</v>
      </c>
      <c r="X3" s="4"/>
      <c r="Y3" s="39" t="s">
        <v>142</v>
      </c>
      <c r="Z3" s="4" t="s">
        <v>143</v>
      </c>
      <c r="AA3" s="4"/>
      <c r="AB3" s="4"/>
    </row>
    <row r="4" spans="1:28" ht="12.75" customHeight="1" x14ac:dyDescent="0.2">
      <c r="A4" s="3" t="s">
        <v>144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39.75" customHeight="1" x14ac:dyDescent="0.2">
      <c r="A5" s="14" t="s">
        <v>4</v>
      </c>
      <c r="B5" s="14" t="s">
        <v>145</v>
      </c>
      <c r="C5" s="14" t="s">
        <v>146</v>
      </c>
      <c r="D5" s="14" t="s">
        <v>147</v>
      </c>
      <c r="E5" s="14" t="s">
        <v>148</v>
      </c>
      <c r="F5" s="14" t="s">
        <v>149</v>
      </c>
      <c r="G5" s="14" t="s">
        <v>150</v>
      </c>
      <c r="H5" s="14" t="s">
        <v>151</v>
      </c>
      <c r="I5" s="14" t="s">
        <v>152</v>
      </c>
      <c r="J5" s="14" t="s">
        <v>153</v>
      </c>
      <c r="K5" s="14" t="s">
        <v>154</v>
      </c>
      <c r="L5" s="14" t="s">
        <v>155</v>
      </c>
      <c r="M5" s="14" t="s">
        <v>156</v>
      </c>
      <c r="N5" s="14" t="s">
        <v>157</v>
      </c>
      <c r="O5" s="14" t="s">
        <v>158</v>
      </c>
      <c r="P5" s="14" t="s">
        <v>159</v>
      </c>
      <c r="Q5" s="40" t="s">
        <v>160</v>
      </c>
      <c r="R5" s="40" t="s">
        <v>161</v>
      </c>
      <c r="S5" s="40" t="s">
        <v>162</v>
      </c>
      <c r="T5" s="40" t="s">
        <v>163</v>
      </c>
      <c r="U5" s="40" t="s">
        <v>164</v>
      </c>
      <c r="V5" s="40" t="s">
        <v>165</v>
      </c>
      <c r="W5" s="40" t="s">
        <v>166</v>
      </c>
      <c r="X5" s="40" t="s">
        <v>167</v>
      </c>
      <c r="Y5" s="40" t="s">
        <v>168</v>
      </c>
      <c r="Z5" s="40" t="s">
        <v>169</v>
      </c>
      <c r="AA5" s="40" t="s">
        <v>170</v>
      </c>
      <c r="AB5" s="40" t="s">
        <v>171</v>
      </c>
    </row>
    <row r="6" spans="1:28" ht="16.5" customHeight="1" x14ac:dyDescent="0.2">
      <c r="A6" s="15" t="s">
        <v>23</v>
      </c>
      <c r="B6" s="16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2">
        <f t="shared" ref="Q6:Q51" si="0">IFERROR(C6+D6+G6+H6,"")</f>
        <v>0</v>
      </c>
      <c r="R6" s="42">
        <f t="shared" ref="R6:R51" si="1">IFERROR(C6+D6+E6+F6+G6+H6,"")</f>
        <v>0</v>
      </c>
      <c r="S6" s="42">
        <f t="shared" ref="S6:S51" si="2">IFERROR(I6+J6,"")</f>
        <v>0</v>
      </c>
      <c r="T6" s="42">
        <f t="shared" ref="T6:T51" si="3">IFERROR(Q6-S6,"")</f>
        <v>0</v>
      </c>
      <c r="U6" s="42">
        <f t="shared" ref="U6:U51" si="4">IFERROR(R6-S6,"")</f>
        <v>0</v>
      </c>
      <c r="V6" s="42">
        <f t="shared" ref="V6:V51" si="5">IFERROR(L6+M6,"")</f>
        <v>0</v>
      </c>
      <c r="W6" s="43" t="str">
        <f t="shared" ref="W6:W51" si="6">IFERROR(IF(V6=0,"",T6/V6),"")</f>
        <v/>
      </c>
      <c r="X6" s="43" t="str">
        <f t="shared" ref="X6:X51" si="7">IFERROR(IF(V6=0,"",U6/V6),"")</f>
        <v/>
      </c>
      <c r="Y6" s="43" t="str">
        <f t="shared" ref="Y6:Y51" si="8">IFERROR(IF(N6=0,"",V6/N6),"")</f>
        <v/>
      </c>
      <c r="Z6" s="44" t="str">
        <f t="shared" ref="Z6:Z51" si="9">IFERROR(IF(Q6=0,"",(C6+G6)/Q6),"")</f>
        <v/>
      </c>
      <c r="AA6" s="42">
        <f t="shared" ref="AA6:AA51" si="10">IFERROR(C6+G6,"")</f>
        <v>0</v>
      </c>
      <c r="AB6" s="43" t="str">
        <f t="shared" ref="AB6:AB51" si="11">IFERROR(IF(AA6=0,"",S6/AA6),"")</f>
        <v/>
      </c>
    </row>
    <row r="7" spans="1:28" ht="16.5" customHeight="1" x14ac:dyDescent="0.2">
      <c r="A7" s="26" t="s">
        <v>26</v>
      </c>
      <c r="B7" s="27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2">
        <f t="shared" si="0"/>
        <v>0</v>
      </c>
      <c r="R7" s="42">
        <f t="shared" si="1"/>
        <v>0</v>
      </c>
      <c r="S7" s="42">
        <f t="shared" si="2"/>
        <v>0</v>
      </c>
      <c r="T7" s="42">
        <f t="shared" si="3"/>
        <v>0</v>
      </c>
      <c r="U7" s="42">
        <f t="shared" si="4"/>
        <v>0</v>
      </c>
      <c r="V7" s="42">
        <f t="shared" si="5"/>
        <v>0</v>
      </c>
      <c r="W7" s="43" t="str">
        <f t="shared" si="6"/>
        <v/>
      </c>
      <c r="X7" s="43" t="str">
        <f t="shared" si="7"/>
        <v/>
      </c>
      <c r="Y7" s="43" t="str">
        <f t="shared" si="8"/>
        <v/>
      </c>
      <c r="Z7" s="44" t="str">
        <f t="shared" si="9"/>
        <v/>
      </c>
      <c r="AA7" s="42">
        <f t="shared" si="10"/>
        <v>0</v>
      </c>
      <c r="AB7" s="43" t="str">
        <f t="shared" si="11"/>
        <v/>
      </c>
    </row>
    <row r="8" spans="1:28" ht="16.5" customHeight="1" x14ac:dyDescent="0.2">
      <c r="A8" s="15" t="s">
        <v>28</v>
      </c>
      <c r="B8" s="16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2">
        <f t="shared" si="0"/>
        <v>0</v>
      </c>
      <c r="R8" s="42">
        <f t="shared" si="1"/>
        <v>0</v>
      </c>
      <c r="S8" s="42">
        <f t="shared" si="2"/>
        <v>0</v>
      </c>
      <c r="T8" s="42">
        <f t="shared" si="3"/>
        <v>0</v>
      </c>
      <c r="U8" s="42">
        <f t="shared" si="4"/>
        <v>0</v>
      </c>
      <c r="V8" s="42">
        <f t="shared" si="5"/>
        <v>0</v>
      </c>
      <c r="W8" s="43" t="str">
        <f t="shared" si="6"/>
        <v/>
      </c>
      <c r="X8" s="43" t="str">
        <f t="shared" si="7"/>
        <v/>
      </c>
      <c r="Y8" s="43" t="str">
        <f t="shared" si="8"/>
        <v/>
      </c>
      <c r="Z8" s="44" t="str">
        <f t="shared" si="9"/>
        <v/>
      </c>
      <c r="AA8" s="42">
        <f t="shared" si="10"/>
        <v>0</v>
      </c>
      <c r="AB8" s="43" t="str">
        <f t="shared" si="11"/>
        <v/>
      </c>
    </row>
    <row r="9" spans="1:28" ht="16.5" customHeight="1" x14ac:dyDescent="0.2">
      <c r="A9" s="26" t="s">
        <v>30</v>
      </c>
      <c r="B9" s="27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2">
        <f t="shared" si="0"/>
        <v>0</v>
      </c>
      <c r="R9" s="42">
        <f t="shared" si="1"/>
        <v>0</v>
      </c>
      <c r="S9" s="42">
        <f t="shared" si="2"/>
        <v>0</v>
      </c>
      <c r="T9" s="42">
        <f t="shared" si="3"/>
        <v>0</v>
      </c>
      <c r="U9" s="42">
        <f t="shared" si="4"/>
        <v>0</v>
      </c>
      <c r="V9" s="42">
        <f t="shared" si="5"/>
        <v>0</v>
      </c>
      <c r="W9" s="43" t="str">
        <f t="shared" si="6"/>
        <v/>
      </c>
      <c r="X9" s="43" t="str">
        <f t="shared" si="7"/>
        <v/>
      </c>
      <c r="Y9" s="43" t="str">
        <f t="shared" si="8"/>
        <v/>
      </c>
      <c r="Z9" s="44" t="str">
        <f t="shared" si="9"/>
        <v/>
      </c>
      <c r="AA9" s="42">
        <f t="shared" si="10"/>
        <v>0</v>
      </c>
      <c r="AB9" s="43" t="str">
        <f t="shared" si="11"/>
        <v/>
      </c>
    </row>
    <row r="10" spans="1:28" ht="16.5" customHeight="1" x14ac:dyDescent="0.2">
      <c r="A10" s="15" t="s">
        <v>33</v>
      </c>
      <c r="B10" s="16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2">
        <f t="shared" si="0"/>
        <v>0</v>
      </c>
      <c r="R10" s="42">
        <f t="shared" si="1"/>
        <v>0</v>
      </c>
      <c r="S10" s="42">
        <f t="shared" si="2"/>
        <v>0</v>
      </c>
      <c r="T10" s="42">
        <f t="shared" si="3"/>
        <v>0</v>
      </c>
      <c r="U10" s="42">
        <f t="shared" si="4"/>
        <v>0</v>
      </c>
      <c r="V10" s="42">
        <f t="shared" si="5"/>
        <v>0</v>
      </c>
      <c r="W10" s="43" t="str">
        <f t="shared" si="6"/>
        <v/>
      </c>
      <c r="X10" s="43" t="str">
        <f t="shared" si="7"/>
        <v/>
      </c>
      <c r="Y10" s="43" t="str">
        <f t="shared" si="8"/>
        <v/>
      </c>
      <c r="Z10" s="44" t="str">
        <f t="shared" si="9"/>
        <v/>
      </c>
      <c r="AA10" s="42">
        <f t="shared" si="10"/>
        <v>0</v>
      </c>
      <c r="AB10" s="43" t="str">
        <f t="shared" si="11"/>
        <v/>
      </c>
    </row>
    <row r="11" spans="1:28" ht="16.5" customHeight="1" x14ac:dyDescent="0.2">
      <c r="A11" s="26" t="s">
        <v>35</v>
      </c>
      <c r="B11" s="27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2">
        <f t="shared" si="0"/>
        <v>0</v>
      </c>
      <c r="R11" s="42">
        <f t="shared" si="1"/>
        <v>0</v>
      </c>
      <c r="S11" s="42">
        <f t="shared" si="2"/>
        <v>0</v>
      </c>
      <c r="T11" s="42">
        <f t="shared" si="3"/>
        <v>0</v>
      </c>
      <c r="U11" s="42">
        <f t="shared" si="4"/>
        <v>0</v>
      </c>
      <c r="V11" s="42">
        <f t="shared" si="5"/>
        <v>0</v>
      </c>
      <c r="W11" s="43" t="str">
        <f t="shared" si="6"/>
        <v/>
      </c>
      <c r="X11" s="43" t="str">
        <f t="shared" si="7"/>
        <v/>
      </c>
      <c r="Y11" s="43" t="str">
        <f t="shared" si="8"/>
        <v/>
      </c>
      <c r="Z11" s="44" t="str">
        <f t="shared" si="9"/>
        <v/>
      </c>
      <c r="AA11" s="42">
        <f t="shared" si="10"/>
        <v>0</v>
      </c>
      <c r="AB11" s="43" t="str">
        <f t="shared" si="11"/>
        <v/>
      </c>
    </row>
    <row r="12" spans="1:28" ht="16.5" customHeight="1" x14ac:dyDescent="0.2">
      <c r="A12" s="15" t="s">
        <v>37</v>
      </c>
      <c r="B12" s="16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2">
        <f t="shared" si="0"/>
        <v>0</v>
      </c>
      <c r="R12" s="42">
        <f t="shared" si="1"/>
        <v>0</v>
      </c>
      <c r="S12" s="42">
        <f t="shared" si="2"/>
        <v>0</v>
      </c>
      <c r="T12" s="42">
        <f t="shared" si="3"/>
        <v>0</v>
      </c>
      <c r="U12" s="42">
        <f t="shared" si="4"/>
        <v>0</v>
      </c>
      <c r="V12" s="42">
        <f t="shared" si="5"/>
        <v>0</v>
      </c>
      <c r="W12" s="43" t="str">
        <f t="shared" si="6"/>
        <v/>
      </c>
      <c r="X12" s="43" t="str">
        <f t="shared" si="7"/>
        <v/>
      </c>
      <c r="Y12" s="43" t="str">
        <f t="shared" si="8"/>
        <v/>
      </c>
      <c r="Z12" s="44" t="str">
        <f t="shared" si="9"/>
        <v/>
      </c>
      <c r="AA12" s="42">
        <f t="shared" si="10"/>
        <v>0</v>
      </c>
      <c r="AB12" s="43" t="str">
        <f t="shared" si="11"/>
        <v/>
      </c>
    </row>
    <row r="13" spans="1:28" ht="16.5" customHeight="1" x14ac:dyDescent="0.2">
      <c r="A13" s="26" t="s">
        <v>39</v>
      </c>
      <c r="B13" s="27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2">
        <f t="shared" si="0"/>
        <v>0</v>
      </c>
      <c r="R13" s="42">
        <f t="shared" si="1"/>
        <v>0</v>
      </c>
      <c r="S13" s="42">
        <f t="shared" si="2"/>
        <v>0</v>
      </c>
      <c r="T13" s="42">
        <f t="shared" si="3"/>
        <v>0</v>
      </c>
      <c r="U13" s="42">
        <f t="shared" si="4"/>
        <v>0</v>
      </c>
      <c r="V13" s="42">
        <f t="shared" si="5"/>
        <v>0</v>
      </c>
      <c r="W13" s="43" t="str">
        <f t="shared" si="6"/>
        <v/>
      </c>
      <c r="X13" s="43" t="str">
        <f t="shared" si="7"/>
        <v/>
      </c>
      <c r="Y13" s="43" t="str">
        <f t="shared" si="8"/>
        <v/>
      </c>
      <c r="Z13" s="44" t="str">
        <f t="shared" si="9"/>
        <v/>
      </c>
      <c r="AA13" s="42">
        <f t="shared" si="10"/>
        <v>0</v>
      </c>
      <c r="AB13" s="43" t="str">
        <f t="shared" si="11"/>
        <v/>
      </c>
    </row>
    <row r="14" spans="1:28" ht="16.5" customHeight="1" x14ac:dyDescent="0.2">
      <c r="A14" s="15" t="s">
        <v>40</v>
      </c>
      <c r="B14" s="16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2">
        <f t="shared" si="0"/>
        <v>0</v>
      </c>
      <c r="R14" s="42">
        <f t="shared" si="1"/>
        <v>0</v>
      </c>
      <c r="S14" s="42">
        <f t="shared" si="2"/>
        <v>0</v>
      </c>
      <c r="T14" s="42">
        <f t="shared" si="3"/>
        <v>0</v>
      </c>
      <c r="U14" s="42">
        <f t="shared" si="4"/>
        <v>0</v>
      </c>
      <c r="V14" s="42">
        <f t="shared" si="5"/>
        <v>0</v>
      </c>
      <c r="W14" s="43" t="str">
        <f t="shared" si="6"/>
        <v/>
      </c>
      <c r="X14" s="43" t="str">
        <f t="shared" si="7"/>
        <v/>
      </c>
      <c r="Y14" s="43" t="str">
        <f t="shared" si="8"/>
        <v/>
      </c>
      <c r="Z14" s="44" t="str">
        <f t="shared" si="9"/>
        <v/>
      </c>
      <c r="AA14" s="42">
        <f t="shared" si="10"/>
        <v>0</v>
      </c>
      <c r="AB14" s="43" t="str">
        <f t="shared" si="11"/>
        <v/>
      </c>
    </row>
    <row r="15" spans="1:28" ht="16.5" customHeight="1" x14ac:dyDescent="0.2">
      <c r="A15" s="26" t="s">
        <v>41</v>
      </c>
      <c r="B15" s="27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2">
        <f t="shared" si="0"/>
        <v>0</v>
      </c>
      <c r="R15" s="42">
        <f t="shared" si="1"/>
        <v>0</v>
      </c>
      <c r="S15" s="42">
        <f t="shared" si="2"/>
        <v>0</v>
      </c>
      <c r="T15" s="42">
        <f t="shared" si="3"/>
        <v>0</v>
      </c>
      <c r="U15" s="42">
        <f t="shared" si="4"/>
        <v>0</v>
      </c>
      <c r="V15" s="42">
        <f t="shared" si="5"/>
        <v>0</v>
      </c>
      <c r="W15" s="43" t="str">
        <f t="shared" si="6"/>
        <v/>
      </c>
      <c r="X15" s="43" t="str">
        <f t="shared" si="7"/>
        <v/>
      </c>
      <c r="Y15" s="43" t="str">
        <f t="shared" si="8"/>
        <v/>
      </c>
      <c r="Z15" s="44" t="str">
        <f t="shared" si="9"/>
        <v/>
      </c>
      <c r="AA15" s="42">
        <f t="shared" si="10"/>
        <v>0</v>
      </c>
      <c r="AB15" s="43" t="str">
        <f t="shared" si="11"/>
        <v/>
      </c>
    </row>
    <row r="16" spans="1:28" ht="16.5" customHeight="1" x14ac:dyDescent="0.2">
      <c r="A16" s="15" t="s">
        <v>42</v>
      </c>
      <c r="B16" s="16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2">
        <f t="shared" si="0"/>
        <v>0</v>
      </c>
      <c r="R16" s="42">
        <f t="shared" si="1"/>
        <v>0</v>
      </c>
      <c r="S16" s="42">
        <f t="shared" si="2"/>
        <v>0</v>
      </c>
      <c r="T16" s="42">
        <f t="shared" si="3"/>
        <v>0</v>
      </c>
      <c r="U16" s="42">
        <f t="shared" si="4"/>
        <v>0</v>
      </c>
      <c r="V16" s="42">
        <f t="shared" si="5"/>
        <v>0</v>
      </c>
      <c r="W16" s="43" t="str">
        <f t="shared" si="6"/>
        <v/>
      </c>
      <c r="X16" s="43" t="str">
        <f t="shared" si="7"/>
        <v/>
      </c>
      <c r="Y16" s="43" t="str">
        <f t="shared" si="8"/>
        <v/>
      </c>
      <c r="Z16" s="44" t="str">
        <f t="shared" si="9"/>
        <v/>
      </c>
      <c r="AA16" s="42">
        <f t="shared" si="10"/>
        <v>0</v>
      </c>
      <c r="AB16" s="43" t="str">
        <f t="shared" si="11"/>
        <v/>
      </c>
    </row>
    <row r="17" spans="1:28" ht="16.5" customHeight="1" x14ac:dyDescent="0.2">
      <c r="A17" s="26" t="s">
        <v>44</v>
      </c>
      <c r="B17" s="27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2">
        <f t="shared" si="0"/>
        <v>0</v>
      </c>
      <c r="R17" s="42">
        <f t="shared" si="1"/>
        <v>0</v>
      </c>
      <c r="S17" s="42">
        <f t="shared" si="2"/>
        <v>0</v>
      </c>
      <c r="T17" s="42">
        <f t="shared" si="3"/>
        <v>0</v>
      </c>
      <c r="U17" s="42">
        <f t="shared" si="4"/>
        <v>0</v>
      </c>
      <c r="V17" s="42">
        <f t="shared" si="5"/>
        <v>0</v>
      </c>
      <c r="W17" s="43" t="str">
        <f t="shared" si="6"/>
        <v/>
      </c>
      <c r="X17" s="43" t="str">
        <f t="shared" si="7"/>
        <v/>
      </c>
      <c r="Y17" s="43" t="str">
        <f t="shared" si="8"/>
        <v/>
      </c>
      <c r="Z17" s="44" t="str">
        <f t="shared" si="9"/>
        <v/>
      </c>
      <c r="AA17" s="42">
        <f t="shared" si="10"/>
        <v>0</v>
      </c>
      <c r="AB17" s="43" t="str">
        <f t="shared" si="11"/>
        <v/>
      </c>
    </row>
    <row r="18" spans="1:28" ht="16.5" customHeight="1" x14ac:dyDescent="0.2">
      <c r="A18" s="15" t="s">
        <v>47</v>
      </c>
      <c r="B18" s="16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2">
        <f t="shared" si="0"/>
        <v>0</v>
      </c>
      <c r="R18" s="42">
        <f t="shared" si="1"/>
        <v>0</v>
      </c>
      <c r="S18" s="42">
        <f t="shared" si="2"/>
        <v>0</v>
      </c>
      <c r="T18" s="42">
        <f t="shared" si="3"/>
        <v>0</v>
      </c>
      <c r="U18" s="42">
        <f t="shared" si="4"/>
        <v>0</v>
      </c>
      <c r="V18" s="42">
        <f t="shared" si="5"/>
        <v>0</v>
      </c>
      <c r="W18" s="43" t="str">
        <f t="shared" si="6"/>
        <v/>
      </c>
      <c r="X18" s="43" t="str">
        <f t="shared" si="7"/>
        <v/>
      </c>
      <c r="Y18" s="43" t="str">
        <f t="shared" si="8"/>
        <v/>
      </c>
      <c r="Z18" s="44" t="str">
        <f t="shared" si="9"/>
        <v/>
      </c>
      <c r="AA18" s="42">
        <f t="shared" si="10"/>
        <v>0</v>
      </c>
      <c r="AB18" s="43" t="str">
        <f t="shared" si="11"/>
        <v/>
      </c>
    </row>
    <row r="19" spans="1:28" ht="16.5" customHeight="1" x14ac:dyDescent="0.2">
      <c r="A19" s="26" t="s">
        <v>50</v>
      </c>
      <c r="B19" s="27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2">
        <f t="shared" si="0"/>
        <v>0</v>
      </c>
      <c r="R19" s="42">
        <f t="shared" si="1"/>
        <v>0</v>
      </c>
      <c r="S19" s="42">
        <f t="shared" si="2"/>
        <v>0</v>
      </c>
      <c r="T19" s="42">
        <f t="shared" si="3"/>
        <v>0</v>
      </c>
      <c r="U19" s="42">
        <f t="shared" si="4"/>
        <v>0</v>
      </c>
      <c r="V19" s="42">
        <f t="shared" si="5"/>
        <v>0</v>
      </c>
      <c r="W19" s="43" t="str">
        <f t="shared" si="6"/>
        <v/>
      </c>
      <c r="X19" s="43" t="str">
        <f t="shared" si="7"/>
        <v/>
      </c>
      <c r="Y19" s="43" t="str">
        <f t="shared" si="8"/>
        <v/>
      </c>
      <c r="Z19" s="44" t="str">
        <f t="shared" si="9"/>
        <v/>
      </c>
      <c r="AA19" s="42">
        <f t="shared" si="10"/>
        <v>0</v>
      </c>
      <c r="AB19" s="43" t="str">
        <f t="shared" si="11"/>
        <v/>
      </c>
    </row>
    <row r="20" spans="1:28" ht="16.5" customHeight="1" x14ac:dyDescent="0.2">
      <c r="A20" s="15" t="s">
        <v>52</v>
      </c>
      <c r="B20" s="16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>
        <f t="shared" si="0"/>
        <v>0</v>
      </c>
      <c r="R20" s="42">
        <f t="shared" si="1"/>
        <v>0</v>
      </c>
      <c r="S20" s="42">
        <f t="shared" si="2"/>
        <v>0</v>
      </c>
      <c r="T20" s="42">
        <f t="shared" si="3"/>
        <v>0</v>
      </c>
      <c r="U20" s="42">
        <f t="shared" si="4"/>
        <v>0</v>
      </c>
      <c r="V20" s="42">
        <f t="shared" si="5"/>
        <v>0</v>
      </c>
      <c r="W20" s="43" t="str">
        <f t="shared" si="6"/>
        <v/>
      </c>
      <c r="X20" s="43" t="str">
        <f t="shared" si="7"/>
        <v/>
      </c>
      <c r="Y20" s="43" t="str">
        <f t="shared" si="8"/>
        <v/>
      </c>
      <c r="Z20" s="44" t="str">
        <f t="shared" si="9"/>
        <v/>
      </c>
      <c r="AA20" s="42">
        <f t="shared" si="10"/>
        <v>0</v>
      </c>
      <c r="AB20" s="43" t="str">
        <f t="shared" si="11"/>
        <v/>
      </c>
    </row>
    <row r="21" spans="1:28" ht="16.5" customHeight="1" x14ac:dyDescent="0.2">
      <c r="A21" s="26" t="s">
        <v>55</v>
      </c>
      <c r="B21" s="27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2">
        <f t="shared" si="0"/>
        <v>0</v>
      </c>
      <c r="R21" s="42">
        <f t="shared" si="1"/>
        <v>0</v>
      </c>
      <c r="S21" s="42">
        <f t="shared" si="2"/>
        <v>0</v>
      </c>
      <c r="T21" s="42">
        <f t="shared" si="3"/>
        <v>0</v>
      </c>
      <c r="U21" s="42">
        <f t="shared" si="4"/>
        <v>0</v>
      </c>
      <c r="V21" s="42">
        <f t="shared" si="5"/>
        <v>0</v>
      </c>
      <c r="W21" s="43" t="str">
        <f t="shared" si="6"/>
        <v/>
      </c>
      <c r="X21" s="43" t="str">
        <f t="shared" si="7"/>
        <v/>
      </c>
      <c r="Y21" s="43" t="str">
        <f t="shared" si="8"/>
        <v/>
      </c>
      <c r="Z21" s="44" t="str">
        <f t="shared" si="9"/>
        <v/>
      </c>
      <c r="AA21" s="42">
        <f t="shared" si="10"/>
        <v>0</v>
      </c>
      <c r="AB21" s="43" t="str">
        <f t="shared" si="11"/>
        <v/>
      </c>
    </row>
    <row r="22" spans="1:28" ht="16.5" customHeight="1" x14ac:dyDescent="0.2">
      <c r="A22" s="15" t="s">
        <v>58</v>
      </c>
      <c r="B22" s="16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2">
        <f t="shared" si="0"/>
        <v>0</v>
      </c>
      <c r="R22" s="42">
        <f t="shared" si="1"/>
        <v>0</v>
      </c>
      <c r="S22" s="42">
        <f t="shared" si="2"/>
        <v>0</v>
      </c>
      <c r="T22" s="42">
        <f t="shared" si="3"/>
        <v>0</v>
      </c>
      <c r="U22" s="42">
        <f t="shared" si="4"/>
        <v>0</v>
      </c>
      <c r="V22" s="42">
        <f t="shared" si="5"/>
        <v>0</v>
      </c>
      <c r="W22" s="43" t="str">
        <f t="shared" si="6"/>
        <v/>
      </c>
      <c r="X22" s="43" t="str">
        <f t="shared" si="7"/>
        <v/>
      </c>
      <c r="Y22" s="43" t="str">
        <f t="shared" si="8"/>
        <v/>
      </c>
      <c r="Z22" s="44" t="str">
        <f t="shared" si="9"/>
        <v/>
      </c>
      <c r="AA22" s="42">
        <f t="shared" si="10"/>
        <v>0</v>
      </c>
      <c r="AB22" s="43" t="str">
        <f t="shared" si="11"/>
        <v/>
      </c>
    </row>
    <row r="23" spans="1:28" ht="16.5" customHeight="1" x14ac:dyDescent="0.2">
      <c r="A23" s="26" t="s">
        <v>61</v>
      </c>
      <c r="B23" s="27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2">
        <f t="shared" si="0"/>
        <v>0</v>
      </c>
      <c r="R23" s="42">
        <f t="shared" si="1"/>
        <v>0</v>
      </c>
      <c r="S23" s="42">
        <f t="shared" si="2"/>
        <v>0</v>
      </c>
      <c r="T23" s="42">
        <f t="shared" si="3"/>
        <v>0</v>
      </c>
      <c r="U23" s="42">
        <f t="shared" si="4"/>
        <v>0</v>
      </c>
      <c r="V23" s="42">
        <f t="shared" si="5"/>
        <v>0</v>
      </c>
      <c r="W23" s="43" t="str">
        <f t="shared" si="6"/>
        <v/>
      </c>
      <c r="X23" s="43" t="str">
        <f t="shared" si="7"/>
        <v/>
      </c>
      <c r="Y23" s="43" t="str">
        <f t="shared" si="8"/>
        <v/>
      </c>
      <c r="Z23" s="44" t="str">
        <f t="shared" si="9"/>
        <v/>
      </c>
      <c r="AA23" s="42">
        <f t="shared" si="10"/>
        <v>0</v>
      </c>
      <c r="AB23" s="43" t="str">
        <f t="shared" si="11"/>
        <v/>
      </c>
    </row>
    <row r="24" spans="1:28" ht="16.5" customHeight="1" x14ac:dyDescent="0.2">
      <c r="A24" s="15" t="s">
        <v>64</v>
      </c>
      <c r="B24" s="16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2">
        <f t="shared" si="0"/>
        <v>0</v>
      </c>
      <c r="R24" s="42">
        <f t="shared" si="1"/>
        <v>0</v>
      </c>
      <c r="S24" s="42">
        <f t="shared" si="2"/>
        <v>0</v>
      </c>
      <c r="T24" s="42">
        <f t="shared" si="3"/>
        <v>0</v>
      </c>
      <c r="U24" s="42">
        <f t="shared" si="4"/>
        <v>0</v>
      </c>
      <c r="V24" s="42">
        <f t="shared" si="5"/>
        <v>0</v>
      </c>
      <c r="W24" s="43" t="str">
        <f t="shared" si="6"/>
        <v/>
      </c>
      <c r="X24" s="43" t="str">
        <f t="shared" si="7"/>
        <v/>
      </c>
      <c r="Y24" s="43" t="str">
        <f t="shared" si="8"/>
        <v/>
      </c>
      <c r="Z24" s="44" t="str">
        <f t="shared" si="9"/>
        <v/>
      </c>
      <c r="AA24" s="42">
        <f t="shared" si="10"/>
        <v>0</v>
      </c>
      <c r="AB24" s="43" t="str">
        <f t="shared" si="11"/>
        <v/>
      </c>
    </row>
    <row r="25" spans="1:28" ht="16.5" customHeight="1" x14ac:dyDescent="0.2">
      <c r="A25" s="26" t="s">
        <v>66</v>
      </c>
      <c r="B25" s="27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2">
        <f t="shared" si="0"/>
        <v>0</v>
      </c>
      <c r="R25" s="42">
        <f t="shared" si="1"/>
        <v>0</v>
      </c>
      <c r="S25" s="42">
        <f t="shared" si="2"/>
        <v>0</v>
      </c>
      <c r="T25" s="42">
        <f t="shared" si="3"/>
        <v>0</v>
      </c>
      <c r="U25" s="42">
        <f t="shared" si="4"/>
        <v>0</v>
      </c>
      <c r="V25" s="42">
        <f t="shared" si="5"/>
        <v>0</v>
      </c>
      <c r="W25" s="43" t="str">
        <f t="shared" si="6"/>
        <v/>
      </c>
      <c r="X25" s="43" t="str">
        <f t="shared" si="7"/>
        <v/>
      </c>
      <c r="Y25" s="43" t="str">
        <f t="shared" si="8"/>
        <v/>
      </c>
      <c r="Z25" s="44" t="str">
        <f t="shared" si="9"/>
        <v/>
      </c>
      <c r="AA25" s="42">
        <f t="shared" si="10"/>
        <v>0</v>
      </c>
      <c r="AB25" s="43" t="str">
        <f t="shared" si="11"/>
        <v/>
      </c>
    </row>
    <row r="26" spans="1:28" ht="16.5" customHeight="1" x14ac:dyDescent="0.2">
      <c r="A26" s="15" t="s">
        <v>68</v>
      </c>
      <c r="B26" s="16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2">
        <f t="shared" si="0"/>
        <v>0</v>
      </c>
      <c r="R26" s="42">
        <f t="shared" si="1"/>
        <v>0</v>
      </c>
      <c r="S26" s="42">
        <f t="shared" si="2"/>
        <v>0</v>
      </c>
      <c r="T26" s="42">
        <f t="shared" si="3"/>
        <v>0</v>
      </c>
      <c r="U26" s="42">
        <f t="shared" si="4"/>
        <v>0</v>
      </c>
      <c r="V26" s="42">
        <f t="shared" si="5"/>
        <v>0</v>
      </c>
      <c r="W26" s="43" t="str">
        <f t="shared" si="6"/>
        <v/>
      </c>
      <c r="X26" s="43" t="str">
        <f t="shared" si="7"/>
        <v/>
      </c>
      <c r="Y26" s="43" t="str">
        <f t="shared" si="8"/>
        <v/>
      </c>
      <c r="Z26" s="44" t="str">
        <f t="shared" si="9"/>
        <v/>
      </c>
      <c r="AA26" s="42">
        <f t="shared" si="10"/>
        <v>0</v>
      </c>
      <c r="AB26" s="43" t="str">
        <f t="shared" si="11"/>
        <v/>
      </c>
    </row>
    <row r="27" spans="1:28" ht="16.5" customHeight="1" x14ac:dyDescent="0.2">
      <c r="A27" s="26" t="s">
        <v>71</v>
      </c>
      <c r="B27" s="27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2">
        <f t="shared" si="0"/>
        <v>0</v>
      </c>
      <c r="R27" s="42">
        <f t="shared" si="1"/>
        <v>0</v>
      </c>
      <c r="S27" s="42">
        <f t="shared" si="2"/>
        <v>0</v>
      </c>
      <c r="T27" s="42">
        <f t="shared" si="3"/>
        <v>0</v>
      </c>
      <c r="U27" s="42">
        <f t="shared" si="4"/>
        <v>0</v>
      </c>
      <c r="V27" s="42">
        <f t="shared" si="5"/>
        <v>0</v>
      </c>
      <c r="W27" s="43" t="str">
        <f t="shared" si="6"/>
        <v/>
      </c>
      <c r="X27" s="43" t="str">
        <f t="shared" si="7"/>
        <v/>
      </c>
      <c r="Y27" s="43" t="str">
        <f t="shared" si="8"/>
        <v/>
      </c>
      <c r="Z27" s="44" t="str">
        <f t="shared" si="9"/>
        <v/>
      </c>
      <c r="AA27" s="42">
        <f t="shared" si="10"/>
        <v>0</v>
      </c>
      <c r="AB27" s="43" t="str">
        <f t="shared" si="11"/>
        <v/>
      </c>
    </row>
    <row r="28" spans="1:28" ht="16.5" customHeight="1" x14ac:dyDescent="0.2">
      <c r="A28" s="15" t="s">
        <v>74</v>
      </c>
      <c r="B28" s="16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2">
        <f t="shared" si="0"/>
        <v>0</v>
      </c>
      <c r="R28" s="42">
        <f t="shared" si="1"/>
        <v>0</v>
      </c>
      <c r="S28" s="42">
        <f t="shared" si="2"/>
        <v>0</v>
      </c>
      <c r="T28" s="42">
        <f t="shared" si="3"/>
        <v>0</v>
      </c>
      <c r="U28" s="42">
        <f t="shared" si="4"/>
        <v>0</v>
      </c>
      <c r="V28" s="42">
        <f t="shared" si="5"/>
        <v>0</v>
      </c>
      <c r="W28" s="43" t="str">
        <f t="shared" si="6"/>
        <v/>
      </c>
      <c r="X28" s="43" t="str">
        <f t="shared" si="7"/>
        <v/>
      </c>
      <c r="Y28" s="43" t="str">
        <f t="shared" si="8"/>
        <v/>
      </c>
      <c r="Z28" s="44" t="str">
        <f t="shared" si="9"/>
        <v/>
      </c>
      <c r="AA28" s="42">
        <f t="shared" si="10"/>
        <v>0</v>
      </c>
      <c r="AB28" s="43" t="str">
        <f t="shared" si="11"/>
        <v/>
      </c>
    </row>
    <row r="29" spans="1:28" ht="16.5" customHeight="1" x14ac:dyDescent="0.2">
      <c r="A29" s="26" t="s">
        <v>76</v>
      </c>
      <c r="B29" s="27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2">
        <f t="shared" si="0"/>
        <v>0</v>
      </c>
      <c r="R29" s="42">
        <f t="shared" si="1"/>
        <v>0</v>
      </c>
      <c r="S29" s="42">
        <f t="shared" si="2"/>
        <v>0</v>
      </c>
      <c r="T29" s="42">
        <f t="shared" si="3"/>
        <v>0</v>
      </c>
      <c r="U29" s="42">
        <f t="shared" si="4"/>
        <v>0</v>
      </c>
      <c r="V29" s="42">
        <f t="shared" si="5"/>
        <v>0</v>
      </c>
      <c r="W29" s="43" t="str">
        <f t="shared" si="6"/>
        <v/>
      </c>
      <c r="X29" s="43" t="str">
        <f t="shared" si="7"/>
        <v/>
      </c>
      <c r="Y29" s="43" t="str">
        <f t="shared" si="8"/>
        <v/>
      </c>
      <c r="Z29" s="44" t="str">
        <f t="shared" si="9"/>
        <v/>
      </c>
      <c r="AA29" s="42">
        <f t="shared" si="10"/>
        <v>0</v>
      </c>
      <c r="AB29" s="43" t="str">
        <f t="shared" si="11"/>
        <v/>
      </c>
    </row>
    <row r="30" spans="1:28" ht="16.5" customHeight="1" x14ac:dyDescent="0.2">
      <c r="A30" s="15" t="s">
        <v>79</v>
      </c>
      <c r="B30" s="16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2">
        <f t="shared" si="0"/>
        <v>0</v>
      </c>
      <c r="R30" s="42">
        <f t="shared" si="1"/>
        <v>0</v>
      </c>
      <c r="S30" s="42">
        <f t="shared" si="2"/>
        <v>0</v>
      </c>
      <c r="T30" s="42">
        <f t="shared" si="3"/>
        <v>0</v>
      </c>
      <c r="U30" s="42">
        <f t="shared" si="4"/>
        <v>0</v>
      </c>
      <c r="V30" s="42">
        <f t="shared" si="5"/>
        <v>0</v>
      </c>
      <c r="W30" s="43" t="str">
        <f t="shared" si="6"/>
        <v/>
      </c>
      <c r="X30" s="43" t="str">
        <f t="shared" si="7"/>
        <v/>
      </c>
      <c r="Y30" s="43" t="str">
        <f t="shared" si="8"/>
        <v/>
      </c>
      <c r="Z30" s="44" t="str">
        <f t="shared" si="9"/>
        <v/>
      </c>
      <c r="AA30" s="42">
        <f t="shared" si="10"/>
        <v>0</v>
      </c>
      <c r="AB30" s="43" t="str">
        <f t="shared" si="11"/>
        <v/>
      </c>
    </row>
    <row r="31" spans="1:28" ht="16.5" customHeight="1" x14ac:dyDescent="0.2">
      <c r="A31" s="26" t="s">
        <v>82</v>
      </c>
      <c r="B31" s="27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2">
        <f t="shared" si="0"/>
        <v>0</v>
      </c>
      <c r="R31" s="42">
        <f t="shared" si="1"/>
        <v>0</v>
      </c>
      <c r="S31" s="42">
        <f t="shared" si="2"/>
        <v>0</v>
      </c>
      <c r="T31" s="42">
        <f t="shared" si="3"/>
        <v>0</v>
      </c>
      <c r="U31" s="42">
        <f t="shared" si="4"/>
        <v>0</v>
      </c>
      <c r="V31" s="42">
        <f t="shared" si="5"/>
        <v>0</v>
      </c>
      <c r="W31" s="43" t="str">
        <f t="shared" si="6"/>
        <v/>
      </c>
      <c r="X31" s="43" t="str">
        <f t="shared" si="7"/>
        <v/>
      </c>
      <c r="Y31" s="43" t="str">
        <f t="shared" si="8"/>
        <v/>
      </c>
      <c r="Z31" s="44" t="str">
        <f t="shared" si="9"/>
        <v/>
      </c>
      <c r="AA31" s="42">
        <f t="shared" si="10"/>
        <v>0</v>
      </c>
      <c r="AB31" s="43" t="str">
        <f t="shared" si="11"/>
        <v/>
      </c>
    </row>
    <row r="32" spans="1:28" ht="16.5" customHeight="1" x14ac:dyDescent="0.2">
      <c r="A32" s="15" t="s">
        <v>85</v>
      </c>
      <c r="B32" s="16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2">
        <f t="shared" si="0"/>
        <v>0</v>
      </c>
      <c r="R32" s="42">
        <f t="shared" si="1"/>
        <v>0</v>
      </c>
      <c r="S32" s="42">
        <f t="shared" si="2"/>
        <v>0</v>
      </c>
      <c r="T32" s="42">
        <f t="shared" si="3"/>
        <v>0</v>
      </c>
      <c r="U32" s="42">
        <f t="shared" si="4"/>
        <v>0</v>
      </c>
      <c r="V32" s="42">
        <f t="shared" si="5"/>
        <v>0</v>
      </c>
      <c r="W32" s="43" t="str">
        <f t="shared" si="6"/>
        <v/>
      </c>
      <c r="X32" s="43" t="str">
        <f t="shared" si="7"/>
        <v/>
      </c>
      <c r="Y32" s="43" t="str">
        <f t="shared" si="8"/>
        <v/>
      </c>
      <c r="Z32" s="44" t="str">
        <f t="shared" si="9"/>
        <v/>
      </c>
      <c r="AA32" s="42">
        <f t="shared" si="10"/>
        <v>0</v>
      </c>
      <c r="AB32" s="43" t="str">
        <f t="shared" si="11"/>
        <v/>
      </c>
    </row>
    <row r="33" spans="1:28" ht="16.5" customHeight="1" x14ac:dyDescent="0.2">
      <c r="A33" s="26" t="s">
        <v>87</v>
      </c>
      <c r="B33" s="27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2">
        <f t="shared" si="0"/>
        <v>0</v>
      </c>
      <c r="R33" s="42">
        <f t="shared" si="1"/>
        <v>0</v>
      </c>
      <c r="S33" s="42">
        <f t="shared" si="2"/>
        <v>0</v>
      </c>
      <c r="T33" s="42">
        <f t="shared" si="3"/>
        <v>0</v>
      </c>
      <c r="U33" s="42">
        <f t="shared" si="4"/>
        <v>0</v>
      </c>
      <c r="V33" s="42">
        <f t="shared" si="5"/>
        <v>0</v>
      </c>
      <c r="W33" s="43" t="str">
        <f t="shared" si="6"/>
        <v/>
      </c>
      <c r="X33" s="43" t="str">
        <f t="shared" si="7"/>
        <v/>
      </c>
      <c r="Y33" s="43" t="str">
        <f t="shared" si="8"/>
        <v/>
      </c>
      <c r="Z33" s="44" t="str">
        <f t="shared" si="9"/>
        <v/>
      </c>
      <c r="AA33" s="42">
        <f t="shared" si="10"/>
        <v>0</v>
      </c>
      <c r="AB33" s="43" t="str">
        <f t="shared" si="11"/>
        <v/>
      </c>
    </row>
    <row r="34" spans="1:28" ht="16.5" customHeight="1" x14ac:dyDescent="0.2">
      <c r="A34" s="15" t="s">
        <v>90</v>
      </c>
      <c r="B34" s="16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2">
        <f t="shared" si="0"/>
        <v>0</v>
      </c>
      <c r="R34" s="42">
        <f t="shared" si="1"/>
        <v>0</v>
      </c>
      <c r="S34" s="42">
        <f t="shared" si="2"/>
        <v>0</v>
      </c>
      <c r="T34" s="42">
        <f t="shared" si="3"/>
        <v>0</v>
      </c>
      <c r="U34" s="42">
        <f t="shared" si="4"/>
        <v>0</v>
      </c>
      <c r="V34" s="42">
        <f t="shared" si="5"/>
        <v>0</v>
      </c>
      <c r="W34" s="43" t="str">
        <f t="shared" si="6"/>
        <v/>
      </c>
      <c r="X34" s="43" t="str">
        <f t="shared" si="7"/>
        <v/>
      </c>
      <c r="Y34" s="43" t="str">
        <f t="shared" si="8"/>
        <v/>
      </c>
      <c r="Z34" s="44" t="str">
        <f t="shared" si="9"/>
        <v/>
      </c>
      <c r="AA34" s="42">
        <f t="shared" si="10"/>
        <v>0</v>
      </c>
      <c r="AB34" s="43" t="str">
        <f t="shared" si="11"/>
        <v/>
      </c>
    </row>
    <row r="35" spans="1:28" ht="16.5" customHeight="1" x14ac:dyDescent="0.2">
      <c r="A35" s="26" t="s">
        <v>92</v>
      </c>
      <c r="B35" s="27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2">
        <f t="shared" si="0"/>
        <v>0</v>
      </c>
      <c r="R35" s="42">
        <f t="shared" si="1"/>
        <v>0</v>
      </c>
      <c r="S35" s="42">
        <f t="shared" si="2"/>
        <v>0</v>
      </c>
      <c r="T35" s="42">
        <f t="shared" si="3"/>
        <v>0</v>
      </c>
      <c r="U35" s="42">
        <f t="shared" si="4"/>
        <v>0</v>
      </c>
      <c r="V35" s="42">
        <f t="shared" si="5"/>
        <v>0</v>
      </c>
      <c r="W35" s="43" t="str">
        <f t="shared" si="6"/>
        <v/>
      </c>
      <c r="X35" s="43" t="str">
        <f t="shared" si="7"/>
        <v/>
      </c>
      <c r="Y35" s="43" t="str">
        <f t="shared" si="8"/>
        <v/>
      </c>
      <c r="Z35" s="44" t="str">
        <f t="shared" si="9"/>
        <v/>
      </c>
      <c r="AA35" s="42">
        <f t="shared" si="10"/>
        <v>0</v>
      </c>
      <c r="AB35" s="43" t="str">
        <f t="shared" si="11"/>
        <v/>
      </c>
    </row>
    <row r="36" spans="1:28" ht="16.5" customHeight="1" x14ac:dyDescent="0.2">
      <c r="A36" s="15" t="s">
        <v>94</v>
      </c>
      <c r="B36" s="16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2">
        <f t="shared" si="0"/>
        <v>0</v>
      </c>
      <c r="R36" s="42">
        <f t="shared" si="1"/>
        <v>0</v>
      </c>
      <c r="S36" s="42">
        <f t="shared" si="2"/>
        <v>0</v>
      </c>
      <c r="T36" s="42">
        <f t="shared" si="3"/>
        <v>0</v>
      </c>
      <c r="U36" s="42">
        <f t="shared" si="4"/>
        <v>0</v>
      </c>
      <c r="V36" s="42">
        <f t="shared" si="5"/>
        <v>0</v>
      </c>
      <c r="W36" s="43" t="str">
        <f t="shared" si="6"/>
        <v/>
      </c>
      <c r="X36" s="43" t="str">
        <f t="shared" si="7"/>
        <v/>
      </c>
      <c r="Y36" s="43" t="str">
        <f t="shared" si="8"/>
        <v/>
      </c>
      <c r="Z36" s="44" t="str">
        <f t="shared" si="9"/>
        <v/>
      </c>
      <c r="AA36" s="42">
        <f t="shared" si="10"/>
        <v>0</v>
      </c>
      <c r="AB36" s="43" t="str">
        <f t="shared" si="11"/>
        <v/>
      </c>
    </row>
    <row r="37" spans="1:28" ht="16.5" customHeight="1" x14ac:dyDescent="0.2">
      <c r="A37" s="26" t="s">
        <v>97</v>
      </c>
      <c r="B37" s="27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2">
        <f t="shared" si="0"/>
        <v>0</v>
      </c>
      <c r="R37" s="42">
        <f t="shared" si="1"/>
        <v>0</v>
      </c>
      <c r="S37" s="42">
        <f t="shared" si="2"/>
        <v>0</v>
      </c>
      <c r="T37" s="42">
        <f t="shared" si="3"/>
        <v>0</v>
      </c>
      <c r="U37" s="42">
        <f t="shared" si="4"/>
        <v>0</v>
      </c>
      <c r="V37" s="42">
        <f t="shared" si="5"/>
        <v>0</v>
      </c>
      <c r="W37" s="43" t="str">
        <f t="shared" si="6"/>
        <v/>
      </c>
      <c r="X37" s="43" t="str">
        <f t="shared" si="7"/>
        <v/>
      </c>
      <c r="Y37" s="43" t="str">
        <f t="shared" si="8"/>
        <v/>
      </c>
      <c r="Z37" s="44" t="str">
        <f t="shared" si="9"/>
        <v/>
      </c>
      <c r="AA37" s="42">
        <f t="shared" si="10"/>
        <v>0</v>
      </c>
      <c r="AB37" s="43" t="str">
        <f t="shared" si="11"/>
        <v/>
      </c>
    </row>
    <row r="38" spans="1:28" ht="16.5" customHeight="1" x14ac:dyDescent="0.2">
      <c r="A38" s="15" t="s">
        <v>100</v>
      </c>
      <c r="B38" s="16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>
        <f t="shared" si="0"/>
        <v>0</v>
      </c>
      <c r="R38" s="42">
        <f t="shared" si="1"/>
        <v>0</v>
      </c>
      <c r="S38" s="42">
        <f t="shared" si="2"/>
        <v>0</v>
      </c>
      <c r="T38" s="42">
        <f t="shared" si="3"/>
        <v>0</v>
      </c>
      <c r="U38" s="42">
        <f t="shared" si="4"/>
        <v>0</v>
      </c>
      <c r="V38" s="42">
        <f t="shared" si="5"/>
        <v>0</v>
      </c>
      <c r="W38" s="43" t="str">
        <f t="shared" si="6"/>
        <v/>
      </c>
      <c r="X38" s="43" t="str">
        <f t="shared" si="7"/>
        <v/>
      </c>
      <c r="Y38" s="43" t="str">
        <f t="shared" si="8"/>
        <v/>
      </c>
      <c r="Z38" s="44" t="str">
        <f t="shared" si="9"/>
        <v/>
      </c>
      <c r="AA38" s="42">
        <f t="shared" si="10"/>
        <v>0</v>
      </c>
      <c r="AB38" s="43" t="str">
        <f t="shared" si="11"/>
        <v/>
      </c>
    </row>
    <row r="39" spans="1:28" ht="16.5" customHeight="1" x14ac:dyDescent="0.2">
      <c r="A39" s="26" t="s">
        <v>103</v>
      </c>
      <c r="B39" s="27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2">
        <f t="shared" si="0"/>
        <v>0</v>
      </c>
      <c r="R39" s="42">
        <f t="shared" si="1"/>
        <v>0</v>
      </c>
      <c r="S39" s="42">
        <f t="shared" si="2"/>
        <v>0</v>
      </c>
      <c r="T39" s="42">
        <f t="shared" si="3"/>
        <v>0</v>
      </c>
      <c r="U39" s="42">
        <f t="shared" si="4"/>
        <v>0</v>
      </c>
      <c r="V39" s="42">
        <f t="shared" si="5"/>
        <v>0</v>
      </c>
      <c r="W39" s="43" t="str">
        <f t="shared" si="6"/>
        <v/>
      </c>
      <c r="X39" s="43" t="str">
        <f t="shared" si="7"/>
        <v/>
      </c>
      <c r="Y39" s="43" t="str">
        <f t="shared" si="8"/>
        <v/>
      </c>
      <c r="Z39" s="44" t="str">
        <f t="shared" si="9"/>
        <v/>
      </c>
      <c r="AA39" s="42">
        <f t="shared" si="10"/>
        <v>0</v>
      </c>
      <c r="AB39" s="43" t="str">
        <f t="shared" si="11"/>
        <v/>
      </c>
    </row>
    <row r="40" spans="1:28" ht="16.5" customHeight="1" x14ac:dyDescent="0.2">
      <c r="A40" s="15" t="s">
        <v>106</v>
      </c>
      <c r="B40" s="16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2">
        <f t="shared" si="0"/>
        <v>0</v>
      </c>
      <c r="R40" s="42">
        <f t="shared" si="1"/>
        <v>0</v>
      </c>
      <c r="S40" s="42">
        <f t="shared" si="2"/>
        <v>0</v>
      </c>
      <c r="T40" s="42">
        <f t="shared" si="3"/>
        <v>0</v>
      </c>
      <c r="U40" s="42">
        <f t="shared" si="4"/>
        <v>0</v>
      </c>
      <c r="V40" s="42">
        <f t="shared" si="5"/>
        <v>0</v>
      </c>
      <c r="W40" s="43" t="str">
        <f t="shared" si="6"/>
        <v/>
      </c>
      <c r="X40" s="43" t="str">
        <f t="shared" si="7"/>
        <v/>
      </c>
      <c r="Y40" s="43" t="str">
        <f t="shared" si="8"/>
        <v/>
      </c>
      <c r="Z40" s="44" t="str">
        <f t="shared" si="9"/>
        <v/>
      </c>
      <c r="AA40" s="42">
        <f t="shared" si="10"/>
        <v>0</v>
      </c>
      <c r="AB40" s="43" t="str">
        <f t="shared" si="11"/>
        <v/>
      </c>
    </row>
    <row r="41" spans="1:28" ht="16.5" customHeight="1" x14ac:dyDescent="0.2">
      <c r="A41" s="26" t="s">
        <v>109</v>
      </c>
      <c r="B41" s="27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2">
        <f t="shared" si="0"/>
        <v>0</v>
      </c>
      <c r="R41" s="42">
        <f t="shared" si="1"/>
        <v>0</v>
      </c>
      <c r="S41" s="42">
        <f t="shared" si="2"/>
        <v>0</v>
      </c>
      <c r="T41" s="42">
        <f t="shared" si="3"/>
        <v>0</v>
      </c>
      <c r="U41" s="42">
        <f t="shared" si="4"/>
        <v>0</v>
      </c>
      <c r="V41" s="42">
        <f t="shared" si="5"/>
        <v>0</v>
      </c>
      <c r="W41" s="43" t="str">
        <f t="shared" si="6"/>
        <v/>
      </c>
      <c r="X41" s="43" t="str">
        <f t="shared" si="7"/>
        <v/>
      </c>
      <c r="Y41" s="43" t="str">
        <f t="shared" si="8"/>
        <v/>
      </c>
      <c r="Z41" s="44" t="str">
        <f t="shared" si="9"/>
        <v/>
      </c>
      <c r="AA41" s="42">
        <f t="shared" si="10"/>
        <v>0</v>
      </c>
      <c r="AB41" s="43" t="str">
        <f t="shared" si="11"/>
        <v/>
      </c>
    </row>
    <row r="42" spans="1:28" ht="16.5" customHeight="1" x14ac:dyDescent="0.2">
      <c r="A42" s="15" t="s">
        <v>112</v>
      </c>
      <c r="B42" s="16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2">
        <f t="shared" si="0"/>
        <v>0</v>
      </c>
      <c r="R42" s="42">
        <f t="shared" si="1"/>
        <v>0</v>
      </c>
      <c r="S42" s="42">
        <f t="shared" si="2"/>
        <v>0</v>
      </c>
      <c r="T42" s="42">
        <f t="shared" si="3"/>
        <v>0</v>
      </c>
      <c r="U42" s="42">
        <f t="shared" si="4"/>
        <v>0</v>
      </c>
      <c r="V42" s="42">
        <f t="shared" si="5"/>
        <v>0</v>
      </c>
      <c r="W42" s="43" t="str">
        <f t="shared" si="6"/>
        <v/>
      </c>
      <c r="X42" s="43" t="str">
        <f t="shared" si="7"/>
        <v/>
      </c>
      <c r="Y42" s="43" t="str">
        <f t="shared" si="8"/>
        <v/>
      </c>
      <c r="Z42" s="44" t="str">
        <f t="shared" si="9"/>
        <v/>
      </c>
      <c r="AA42" s="42">
        <f t="shared" si="10"/>
        <v>0</v>
      </c>
      <c r="AB42" s="43" t="str">
        <f t="shared" si="11"/>
        <v/>
      </c>
    </row>
    <row r="43" spans="1:28" ht="16.5" customHeight="1" x14ac:dyDescent="0.2">
      <c r="A43" s="26" t="s">
        <v>114</v>
      </c>
      <c r="B43" s="27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2">
        <f t="shared" si="0"/>
        <v>0</v>
      </c>
      <c r="R43" s="42">
        <f t="shared" si="1"/>
        <v>0</v>
      </c>
      <c r="S43" s="42">
        <f t="shared" si="2"/>
        <v>0</v>
      </c>
      <c r="T43" s="42">
        <f t="shared" si="3"/>
        <v>0</v>
      </c>
      <c r="U43" s="42">
        <f t="shared" si="4"/>
        <v>0</v>
      </c>
      <c r="V43" s="42">
        <f t="shared" si="5"/>
        <v>0</v>
      </c>
      <c r="W43" s="43" t="str">
        <f t="shared" si="6"/>
        <v/>
      </c>
      <c r="X43" s="43" t="str">
        <f t="shared" si="7"/>
        <v/>
      </c>
      <c r="Y43" s="43" t="str">
        <f t="shared" si="8"/>
        <v/>
      </c>
      <c r="Z43" s="44" t="str">
        <f t="shared" si="9"/>
        <v/>
      </c>
      <c r="AA43" s="42">
        <f t="shared" si="10"/>
        <v>0</v>
      </c>
      <c r="AB43" s="43" t="str">
        <f t="shared" si="11"/>
        <v/>
      </c>
    </row>
    <row r="44" spans="1:28" ht="16.5" customHeight="1" x14ac:dyDescent="0.2">
      <c r="A44" s="15" t="s">
        <v>116</v>
      </c>
      <c r="B44" s="16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2">
        <f t="shared" si="0"/>
        <v>0</v>
      </c>
      <c r="R44" s="42">
        <f t="shared" si="1"/>
        <v>0</v>
      </c>
      <c r="S44" s="42">
        <f t="shared" si="2"/>
        <v>0</v>
      </c>
      <c r="T44" s="42">
        <f t="shared" si="3"/>
        <v>0</v>
      </c>
      <c r="U44" s="42">
        <f t="shared" si="4"/>
        <v>0</v>
      </c>
      <c r="V44" s="42">
        <f t="shared" si="5"/>
        <v>0</v>
      </c>
      <c r="W44" s="43" t="str">
        <f t="shared" si="6"/>
        <v/>
      </c>
      <c r="X44" s="43" t="str">
        <f t="shared" si="7"/>
        <v/>
      </c>
      <c r="Y44" s="43" t="str">
        <f t="shared" si="8"/>
        <v/>
      </c>
      <c r="Z44" s="44" t="str">
        <f t="shared" si="9"/>
        <v/>
      </c>
      <c r="AA44" s="42">
        <f t="shared" si="10"/>
        <v>0</v>
      </c>
      <c r="AB44" s="43" t="str">
        <f t="shared" si="11"/>
        <v/>
      </c>
    </row>
    <row r="45" spans="1:28" ht="16.5" customHeight="1" x14ac:dyDescent="0.2">
      <c r="A45" s="26" t="s">
        <v>119</v>
      </c>
      <c r="B45" s="27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2">
        <f t="shared" si="0"/>
        <v>0</v>
      </c>
      <c r="R45" s="42">
        <f t="shared" si="1"/>
        <v>0</v>
      </c>
      <c r="S45" s="42">
        <f t="shared" si="2"/>
        <v>0</v>
      </c>
      <c r="T45" s="42">
        <f t="shared" si="3"/>
        <v>0</v>
      </c>
      <c r="U45" s="42">
        <f t="shared" si="4"/>
        <v>0</v>
      </c>
      <c r="V45" s="42">
        <f t="shared" si="5"/>
        <v>0</v>
      </c>
      <c r="W45" s="43" t="str">
        <f t="shared" si="6"/>
        <v/>
      </c>
      <c r="X45" s="43" t="str">
        <f t="shared" si="7"/>
        <v/>
      </c>
      <c r="Y45" s="43" t="str">
        <f t="shared" si="8"/>
        <v/>
      </c>
      <c r="Z45" s="44" t="str">
        <f t="shared" si="9"/>
        <v/>
      </c>
      <c r="AA45" s="42">
        <f t="shared" si="10"/>
        <v>0</v>
      </c>
      <c r="AB45" s="43" t="str">
        <f t="shared" si="11"/>
        <v/>
      </c>
    </row>
    <row r="46" spans="1:28" ht="16.5" customHeight="1" x14ac:dyDescent="0.2">
      <c r="A46" s="15" t="s">
        <v>121</v>
      </c>
      <c r="B46" s="16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2">
        <f t="shared" si="0"/>
        <v>0</v>
      </c>
      <c r="R46" s="42">
        <f t="shared" si="1"/>
        <v>0</v>
      </c>
      <c r="S46" s="42">
        <f t="shared" si="2"/>
        <v>0</v>
      </c>
      <c r="T46" s="42">
        <f t="shared" si="3"/>
        <v>0</v>
      </c>
      <c r="U46" s="42">
        <f t="shared" si="4"/>
        <v>0</v>
      </c>
      <c r="V46" s="42">
        <f t="shared" si="5"/>
        <v>0</v>
      </c>
      <c r="W46" s="43" t="str">
        <f t="shared" si="6"/>
        <v/>
      </c>
      <c r="X46" s="43" t="str">
        <f t="shared" si="7"/>
        <v/>
      </c>
      <c r="Y46" s="43" t="str">
        <f t="shared" si="8"/>
        <v/>
      </c>
      <c r="Z46" s="44" t="str">
        <f t="shared" si="9"/>
        <v/>
      </c>
      <c r="AA46" s="42">
        <f t="shared" si="10"/>
        <v>0</v>
      </c>
      <c r="AB46" s="43" t="str">
        <f t="shared" si="11"/>
        <v/>
      </c>
    </row>
    <row r="47" spans="1:28" ht="16.5" customHeight="1" x14ac:dyDescent="0.2">
      <c r="A47" s="26" t="s">
        <v>123</v>
      </c>
      <c r="B47" s="27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2">
        <f t="shared" si="0"/>
        <v>0</v>
      </c>
      <c r="R47" s="42">
        <f t="shared" si="1"/>
        <v>0</v>
      </c>
      <c r="S47" s="42">
        <f t="shared" si="2"/>
        <v>0</v>
      </c>
      <c r="T47" s="42">
        <f t="shared" si="3"/>
        <v>0</v>
      </c>
      <c r="U47" s="42">
        <f t="shared" si="4"/>
        <v>0</v>
      </c>
      <c r="V47" s="42">
        <f t="shared" si="5"/>
        <v>0</v>
      </c>
      <c r="W47" s="43" t="str">
        <f t="shared" si="6"/>
        <v/>
      </c>
      <c r="X47" s="43" t="str">
        <f t="shared" si="7"/>
        <v/>
      </c>
      <c r="Y47" s="43" t="str">
        <f t="shared" si="8"/>
        <v/>
      </c>
      <c r="Z47" s="44" t="str">
        <f t="shared" si="9"/>
        <v/>
      </c>
      <c r="AA47" s="42">
        <f t="shared" si="10"/>
        <v>0</v>
      </c>
      <c r="AB47" s="43" t="str">
        <f t="shared" si="11"/>
        <v/>
      </c>
    </row>
    <row r="48" spans="1:28" ht="16.5" customHeight="1" x14ac:dyDescent="0.2">
      <c r="A48" s="15" t="s">
        <v>125</v>
      </c>
      <c r="B48" s="16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2">
        <f t="shared" si="0"/>
        <v>0</v>
      </c>
      <c r="R48" s="42">
        <f t="shared" si="1"/>
        <v>0</v>
      </c>
      <c r="S48" s="42">
        <f t="shared" si="2"/>
        <v>0</v>
      </c>
      <c r="T48" s="42">
        <f t="shared" si="3"/>
        <v>0</v>
      </c>
      <c r="U48" s="42">
        <f t="shared" si="4"/>
        <v>0</v>
      </c>
      <c r="V48" s="42">
        <f t="shared" si="5"/>
        <v>0</v>
      </c>
      <c r="W48" s="43" t="str">
        <f t="shared" si="6"/>
        <v/>
      </c>
      <c r="X48" s="43" t="str">
        <f t="shared" si="7"/>
        <v/>
      </c>
      <c r="Y48" s="43" t="str">
        <f t="shared" si="8"/>
        <v/>
      </c>
      <c r="Z48" s="44" t="str">
        <f t="shared" si="9"/>
        <v/>
      </c>
      <c r="AA48" s="42">
        <f t="shared" si="10"/>
        <v>0</v>
      </c>
      <c r="AB48" s="43" t="str">
        <f t="shared" si="11"/>
        <v/>
      </c>
    </row>
    <row r="49" spans="1:28" ht="16.5" customHeight="1" x14ac:dyDescent="0.2">
      <c r="A49" s="26" t="s">
        <v>127</v>
      </c>
      <c r="B49" s="27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2">
        <f t="shared" si="0"/>
        <v>0</v>
      </c>
      <c r="R49" s="42">
        <f t="shared" si="1"/>
        <v>0</v>
      </c>
      <c r="S49" s="42">
        <f t="shared" si="2"/>
        <v>0</v>
      </c>
      <c r="T49" s="42">
        <f t="shared" si="3"/>
        <v>0</v>
      </c>
      <c r="U49" s="42">
        <f t="shared" si="4"/>
        <v>0</v>
      </c>
      <c r="V49" s="42">
        <f t="shared" si="5"/>
        <v>0</v>
      </c>
      <c r="W49" s="43" t="str">
        <f t="shared" si="6"/>
        <v/>
      </c>
      <c r="X49" s="43" t="str">
        <f t="shared" si="7"/>
        <v/>
      </c>
      <c r="Y49" s="43" t="str">
        <f t="shared" si="8"/>
        <v/>
      </c>
      <c r="Z49" s="44" t="str">
        <f t="shared" si="9"/>
        <v/>
      </c>
      <c r="AA49" s="42">
        <f t="shared" si="10"/>
        <v>0</v>
      </c>
      <c r="AB49" s="43" t="str">
        <f t="shared" si="11"/>
        <v/>
      </c>
    </row>
    <row r="50" spans="1:28" ht="16.5" customHeight="1" x14ac:dyDescent="0.2">
      <c r="A50" s="15" t="s">
        <v>128</v>
      </c>
      <c r="B50" s="16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2">
        <f t="shared" si="0"/>
        <v>0</v>
      </c>
      <c r="R50" s="42">
        <f t="shared" si="1"/>
        <v>0</v>
      </c>
      <c r="S50" s="42">
        <f t="shared" si="2"/>
        <v>0</v>
      </c>
      <c r="T50" s="42">
        <f t="shared" si="3"/>
        <v>0</v>
      </c>
      <c r="U50" s="42">
        <f t="shared" si="4"/>
        <v>0</v>
      </c>
      <c r="V50" s="42">
        <f t="shared" si="5"/>
        <v>0</v>
      </c>
      <c r="W50" s="43" t="str">
        <f t="shared" si="6"/>
        <v/>
      </c>
      <c r="X50" s="43" t="str">
        <f t="shared" si="7"/>
        <v/>
      </c>
      <c r="Y50" s="43" t="str">
        <f t="shared" si="8"/>
        <v/>
      </c>
      <c r="Z50" s="44" t="str">
        <f t="shared" si="9"/>
        <v/>
      </c>
      <c r="AA50" s="42">
        <f t="shared" si="10"/>
        <v>0</v>
      </c>
      <c r="AB50" s="43" t="str">
        <f t="shared" si="11"/>
        <v/>
      </c>
    </row>
    <row r="51" spans="1:28" ht="16.5" customHeight="1" x14ac:dyDescent="0.2">
      <c r="A51" s="26" t="s">
        <v>129</v>
      </c>
      <c r="B51" s="27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2">
        <f t="shared" si="0"/>
        <v>0</v>
      </c>
      <c r="R51" s="42">
        <f t="shared" si="1"/>
        <v>0</v>
      </c>
      <c r="S51" s="42">
        <f t="shared" si="2"/>
        <v>0</v>
      </c>
      <c r="T51" s="42">
        <f t="shared" si="3"/>
        <v>0</v>
      </c>
      <c r="U51" s="42">
        <f t="shared" si="4"/>
        <v>0</v>
      </c>
      <c r="V51" s="42">
        <f t="shared" si="5"/>
        <v>0</v>
      </c>
      <c r="W51" s="43" t="str">
        <f t="shared" si="6"/>
        <v/>
      </c>
      <c r="X51" s="43" t="str">
        <f t="shared" si="7"/>
        <v/>
      </c>
      <c r="Y51" s="43" t="str">
        <f t="shared" si="8"/>
        <v/>
      </c>
      <c r="Z51" s="44" t="str">
        <f t="shared" si="9"/>
        <v/>
      </c>
      <c r="AA51" s="42">
        <f t="shared" si="10"/>
        <v>0</v>
      </c>
      <c r="AB51" s="43" t="str">
        <f t="shared" si="11"/>
        <v/>
      </c>
    </row>
    <row r="52" spans="1:28" ht="16.5" customHeight="1" x14ac:dyDescent="0.2">
      <c r="A52" s="2" t="s">
        <v>132</v>
      </c>
      <c r="B52" s="2"/>
      <c r="C52" s="37">
        <f t="shared" ref="C52:V52" si="12">SUM(C6:C51)</f>
        <v>0</v>
      </c>
      <c r="D52" s="37">
        <f t="shared" si="12"/>
        <v>0</v>
      </c>
      <c r="E52" s="37">
        <f t="shared" si="12"/>
        <v>0</v>
      </c>
      <c r="F52" s="37">
        <f t="shared" si="12"/>
        <v>0</v>
      </c>
      <c r="G52" s="37">
        <f t="shared" si="12"/>
        <v>0</v>
      </c>
      <c r="H52" s="37">
        <f t="shared" si="12"/>
        <v>0</v>
      </c>
      <c r="I52" s="37">
        <f t="shared" si="12"/>
        <v>0</v>
      </c>
      <c r="J52" s="37">
        <f t="shared" si="12"/>
        <v>0</v>
      </c>
      <c r="K52" s="37">
        <f t="shared" si="12"/>
        <v>0</v>
      </c>
      <c r="L52" s="37">
        <f t="shared" si="12"/>
        <v>0</v>
      </c>
      <c r="M52" s="37">
        <f t="shared" si="12"/>
        <v>0</v>
      </c>
      <c r="N52" s="37">
        <f t="shared" si="12"/>
        <v>0</v>
      </c>
      <c r="O52" s="37">
        <f t="shared" si="12"/>
        <v>0</v>
      </c>
      <c r="P52" s="37">
        <f t="shared" si="12"/>
        <v>0</v>
      </c>
      <c r="Q52" s="37">
        <f t="shared" si="12"/>
        <v>0</v>
      </c>
      <c r="R52" s="37">
        <f t="shared" si="12"/>
        <v>0</v>
      </c>
      <c r="S52" s="37">
        <f t="shared" si="12"/>
        <v>0</v>
      </c>
      <c r="T52" s="37">
        <f t="shared" si="12"/>
        <v>0</v>
      </c>
      <c r="U52" s="37">
        <f t="shared" si="12"/>
        <v>0</v>
      </c>
      <c r="V52" s="37">
        <f t="shared" si="12"/>
        <v>0</v>
      </c>
      <c r="W52" s="37"/>
      <c r="X52" s="37"/>
      <c r="Y52" s="37"/>
      <c r="Z52" s="37"/>
      <c r="AA52" s="37">
        <f>SUM(AA6:AA51)</f>
        <v>0</v>
      </c>
      <c r="AB52" s="37"/>
    </row>
  </sheetData>
  <mergeCells count="12">
    <mergeCell ref="A4:AB4"/>
    <mergeCell ref="A52:B52"/>
    <mergeCell ref="A1:AB1"/>
    <mergeCell ref="A2:AB2"/>
    <mergeCell ref="A3:B3"/>
    <mergeCell ref="C3:H3"/>
    <mergeCell ref="I3:J3"/>
    <mergeCell ref="K3:P3"/>
    <mergeCell ref="Q3:R3"/>
    <mergeCell ref="S3:U3"/>
    <mergeCell ref="W3:X3"/>
    <mergeCell ref="Z3:AB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M142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M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4" customWidth="1"/>
    <col min="5" max="5" width="13" customWidth="1"/>
    <col min="6" max="6" width="15" customWidth="1"/>
    <col min="7" max="7" width="9" customWidth="1"/>
    <col min="8" max="9" width="13" customWidth="1"/>
    <col min="10" max="10" width="14" customWidth="1"/>
    <col min="11" max="11" width="18" customWidth="1"/>
    <col min="12" max="12" width="15" customWidth="1"/>
    <col min="13" max="13" width="25" customWidth="1"/>
  </cols>
  <sheetData>
    <row r="1" spans="1:13" ht="15" customHeight="1" x14ac:dyDescent="0.2">
      <c r="A1" s="13" t="s">
        <v>172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8" customHeight="1" x14ac:dyDescent="0.2">
      <c r="A2" s="12" t="s">
        <v>1</v>
      </c>
      <c r="B2" s="12"/>
      <c r="C2" s="12" t="s">
        <v>173</v>
      </c>
      <c r="D2" s="12"/>
      <c r="E2" s="12" t="s">
        <v>174</v>
      </c>
      <c r="F2" s="12"/>
      <c r="G2" s="12"/>
      <c r="H2" s="12"/>
      <c r="I2" s="12"/>
      <c r="J2" s="12"/>
      <c r="K2" s="12"/>
      <c r="L2" s="12"/>
      <c r="M2" s="38"/>
    </row>
    <row r="3" spans="1:13" ht="36" customHeight="1" x14ac:dyDescent="0.2">
      <c r="A3" s="46" t="s">
        <v>4</v>
      </c>
      <c r="B3" s="46" t="s">
        <v>6</v>
      </c>
      <c r="C3" s="46" t="s">
        <v>175</v>
      </c>
      <c r="D3" s="46" t="s">
        <v>176</v>
      </c>
      <c r="E3" s="46" t="s">
        <v>177</v>
      </c>
      <c r="F3" s="46" t="s">
        <v>178</v>
      </c>
      <c r="G3" s="46" t="s">
        <v>179</v>
      </c>
      <c r="H3" s="46" t="s">
        <v>180</v>
      </c>
      <c r="I3" s="46" t="s">
        <v>181</v>
      </c>
      <c r="J3" s="46" t="s">
        <v>182</v>
      </c>
      <c r="K3" s="46" t="s">
        <v>183</v>
      </c>
      <c r="L3" s="46" t="s">
        <v>184</v>
      </c>
      <c r="M3" s="46" t="s">
        <v>185</v>
      </c>
    </row>
    <row r="4" spans="1:13" ht="13.5" customHeight="1" x14ac:dyDescent="0.2">
      <c r="A4" s="11" t="s">
        <v>186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customHeight="1" x14ac:dyDescent="0.2">
      <c r="A5" s="15" t="s">
        <v>23</v>
      </c>
      <c r="B5" s="17" t="s">
        <v>25</v>
      </c>
      <c r="C5" s="17"/>
      <c r="D5" s="17"/>
      <c r="E5" s="47"/>
      <c r="F5" s="48"/>
      <c r="G5" s="17"/>
      <c r="H5" s="47"/>
      <c r="I5" s="47"/>
      <c r="J5" s="48"/>
      <c r="K5" s="17"/>
      <c r="L5" s="17"/>
      <c r="M5" s="25"/>
    </row>
    <row r="6" spans="1:13" ht="15.75" customHeight="1" x14ac:dyDescent="0.2">
      <c r="A6" s="17"/>
      <c r="B6" s="17"/>
      <c r="C6" s="17"/>
      <c r="D6" s="17"/>
      <c r="E6" s="47"/>
      <c r="F6" s="48"/>
      <c r="G6" s="17"/>
      <c r="H6" s="47"/>
      <c r="I6" s="47"/>
      <c r="J6" s="48"/>
      <c r="K6" s="17"/>
      <c r="L6" s="17"/>
      <c r="M6" s="25"/>
    </row>
    <row r="7" spans="1:13" ht="15.75" customHeight="1" x14ac:dyDescent="0.2">
      <c r="A7" s="17"/>
      <c r="B7" s="17"/>
      <c r="C7" s="17"/>
      <c r="D7" s="17"/>
      <c r="E7" s="47"/>
      <c r="F7" s="48"/>
      <c r="G7" s="17"/>
      <c r="H7" s="47"/>
      <c r="I7" s="47"/>
      <c r="J7" s="48"/>
      <c r="K7" s="17"/>
      <c r="L7" s="17"/>
      <c r="M7" s="25"/>
    </row>
    <row r="8" spans="1:13" ht="15.75" customHeight="1" x14ac:dyDescent="0.2">
      <c r="A8" s="26" t="s">
        <v>26</v>
      </c>
      <c r="B8" s="28" t="s">
        <v>25</v>
      </c>
      <c r="C8" s="28"/>
      <c r="D8" s="28"/>
      <c r="E8" s="49"/>
      <c r="F8" s="50"/>
      <c r="G8" s="28"/>
      <c r="H8" s="49"/>
      <c r="I8" s="49"/>
      <c r="J8" s="50"/>
      <c r="K8" s="28"/>
      <c r="L8" s="28"/>
      <c r="M8" s="36"/>
    </row>
    <row r="9" spans="1:13" ht="15.75" customHeight="1" x14ac:dyDescent="0.2">
      <c r="A9" s="28"/>
      <c r="B9" s="28"/>
      <c r="C9" s="28"/>
      <c r="D9" s="28"/>
      <c r="E9" s="49"/>
      <c r="F9" s="50"/>
      <c r="G9" s="28"/>
      <c r="H9" s="49"/>
      <c r="I9" s="49"/>
      <c r="J9" s="50"/>
      <c r="K9" s="28"/>
      <c r="L9" s="28"/>
      <c r="M9" s="36"/>
    </row>
    <row r="10" spans="1:13" ht="15.75" customHeight="1" x14ac:dyDescent="0.2">
      <c r="A10" s="28"/>
      <c r="B10" s="28"/>
      <c r="C10" s="28"/>
      <c r="D10" s="28"/>
      <c r="E10" s="49"/>
      <c r="F10" s="50"/>
      <c r="G10" s="28"/>
      <c r="H10" s="49"/>
      <c r="I10" s="49"/>
      <c r="J10" s="50"/>
      <c r="K10" s="28"/>
      <c r="L10" s="28"/>
      <c r="M10" s="36"/>
    </row>
    <row r="11" spans="1:13" ht="15.75" customHeight="1" x14ac:dyDescent="0.2">
      <c r="A11" s="15" t="s">
        <v>28</v>
      </c>
      <c r="B11" s="17" t="s">
        <v>25</v>
      </c>
      <c r="C11" s="17"/>
      <c r="D11" s="17"/>
      <c r="E11" s="47"/>
      <c r="F11" s="48"/>
      <c r="G11" s="17"/>
      <c r="H11" s="47"/>
      <c r="I11" s="47"/>
      <c r="J11" s="48"/>
      <c r="K11" s="17"/>
      <c r="L11" s="17"/>
      <c r="M11" s="25"/>
    </row>
    <row r="12" spans="1:13" ht="15.75" customHeight="1" x14ac:dyDescent="0.2">
      <c r="A12" s="17"/>
      <c r="B12" s="17"/>
      <c r="C12" s="17"/>
      <c r="D12" s="17"/>
      <c r="E12" s="47"/>
      <c r="F12" s="48"/>
      <c r="G12" s="17"/>
      <c r="H12" s="47"/>
      <c r="I12" s="47"/>
      <c r="J12" s="48"/>
      <c r="K12" s="17"/>
      <c r="L12" s="17"/>
      <c r="M12" s="25"/>
    </row>
    <row r="13" spans="1:13" ht="15.75" customHeight="1" x14ac:dyDescent="0.2">
      <c r="A13" s="17"/>
      <c r="B13" s="17"/>
      <c r="C13" s="17"/>
      <c r="D13" s="17"/>
      <c r="E13" s="47"/>
      <c r="F13" s="48"/>
      <c r="G13" s="17"/>
      <c r="H13" s="47"/>
      <c r="I13" s="47"/>
      <c r="J13" s="48"/>
      <c r="K13" s="17"/>
      <c r="L13" s="17"/>
      <c r="M13" s="25"/>
    </row>
    <row r="14" spans="1:13" ht="15.75" customHeight="1" x14ac:dyDescent="0.2">
      <c r="A14" s="26" t="s">
        <v>30</v>
      </c>
      <c r="B14" s="28" t="s">
        <v>32</v>
      </c>
      <c r="C14" s="28"/>
      <c r="D14" s="28"/>
      <c r="E14" s="49"/>
      <c r="F14" s="50"/>
      <c r="G14" s="28"/>
      <c r="H14" s="49"/>
      <c r="I14" s="49"/>
      <c r="J14" s="50"/>
      <c r="K14" s="28"/>
      <c r="L14" s="28"/>
      <c r="M14" s="36"/>
    </row>
    <row r="15" spans="1:13" ht="15.75" customHeight="1" x14ac:dyDescent="0.2">
      <c r="A15" s="28"/>
      <c r="B15" s="28"/>
      <c r="C15" s="28"/>
      <c r="D15" s="28"/>
      <c r="E15" s="49"/>
      <c r="F15" s="50"/>
      <c r="G15" s="28"/>
      <c r="H15" s="49"/>
      <c r="I15" s="49"/>
      <c r="J15" s="50"/>
      <c r="K15" s="28"/>
      <c r="L15" s="28"/>
      <c r="M15" s="36"/>
    </row>
    <row r="16" spans="1:13" ht="15.75" customHeight="1" x14ac:dyDescent="0.2">
      <c r="A16" s="28"/>
      <c r="B16" s="28"/>
      <c r="C16" s="28"/>
      <c r="D16" s="28"/>
      <c r="E16" s="49"/>
      <c r="F16" s="50"/>
      <c r="G16" s="28"/>
      <c r="H16" s="49"/>
      <c r="I16" s="49"/>
      <c r="J16" s="50"/>
      <c r="K16" s="28"/>
      <c r="L16" s="28"/>
      <c r="M16" s="36"/>
    </row>
    <row r="17" spans="1:13" ht="15.75" customHeight="1" x14ac:dyDescent="0.2">
      <c r="A17" s="15" t="s">
        <v>33</v>
      </c>
      <c r="B17" s="17" t="s">
        <v>32</v>
      </c>
      <c r="C17" s="17"/>
      <c r="D17" s="17"/>
      <c r="E17" s="47"/>
      <c r="F17" s="48"/>
      <c r="G17" s="17"/>
      <c r="H17" s="47"/>
      <c r="I17" s="47"/>
      <c r="J17" s="48"/>
      <c r="K17" s="17"/>
      <c r="L17" s="17"/>
      <c r="M17" s="25"/>
    </row>
    <row r="18" spans="1:13" ht="15.75" customHeight="1" x14ac:dyDescent="0.2">
      <c r="A18" s="17"/>
      <c r="B18" s="17"/>
      <c r="C18" s="17"/>
      <c r="D18" s="17"/>
      <c r="E18" s="47"/>
      <c r="F18" s="48"/>
      <c r="G18" s="17"/>
      <c r="H18" s="47"/>
      <c r="I18" s="47"/>
      <c r="J18" s="48"/>
      <c r="K18" s="17"/>
      <c r="L18" s="17"/>
      <c r="M18" s="25"/>
    </row>
    <row r="19" spans="1:13" ht="15.75" customHeight="1" x14ac:dyDescent="0.2">
      <c r="A19" s="17"/>
      <c r="B19" s="17"/>
      <c r="C19" s="17"/>
      <c r="D19" s="17"/>
      <c r="E19" s="47"/>
      <c r="F19" s="48"/>
      <c r="G19" s="17"/>
      <c r="H19" s="47"/>
      <c r="I19" s="47"/>
      <c r="J19" s="48"/>
      <c r="K19" s="17"/>
      <c r="L19" s="17"/>
      <c r="M19" s="25"/>
    </row>
    <row r="20" spans="1:13" ht="15.75" customHeight="1" x14ac:dyDescent="0.2">
      <c r="A20" s="26" t="s">
        <v>35</v>
      </c>
      <c r="B20" s="28" t="s">
        <v>32</v>
      </c>
      <c r="C20" s="28"/>
      <c r="D20" s="28"/>
      <c r="E20" s="49"/>
      <c r="F20" s="50"/>
      <c r="G20" s="28"/>
      <c r="H20" s="49"/>
      <c r="I20" s="49"/>
      <c r="J20" s="50"/>
      <c r="K20" s="28"/>
      <c r="L20" s="28"/>
      <c r="M20" s="36"/>
    </row>
    <row r="21" spans="1:13" ht="15.75" customHeight="1" x14ac:dyDescent="0.2">
      <c r="A21" s="28"/>
      <c r="B21" s="28"/>
      <c r="C21" s="28"/>
      <c r="D21" s="28"/>
      <c r="E21" s="49"/>
      <c r="F21" s="50"/>
      <c r="G21" s="28"/>
      <c r="H21" s="49"/>
      <c r="I21" s="49"/>
      <c r="J21" s="50"/>
      <c r="K21" s="28"/>
      <c r="L21" s="28"/>
      <c r="M21" s="36"/>
    </row>
    <row r="22" spans="1:13" ht="15.75" customHeight="1" x14ac:dyDescent="0.2">
      <c r="A22" s="28"/>
      <c r="B22" s="28"/>
      <c r="C22" s="28"/>
      <c r="D22" s="28"/>
      <c r="E22" s="49"/>
      <c r="F22" s="50"/>
      <c r="G22" s="28"/>
      <c r="H22" s="49"/>
      <c r="I22" s="49"/>
      <c r="J22" s="50"/>
      <c r="K22" s="28"/>
      <c r="L22" s="28"/>
      <c r="M22" s="36"/>
    </row>
    <row r="23" spans="1:13" ht="15.75" customHeight="1" x14ac:dyDescent="0.2">
      <c r="A23" s="15" t="s">
        <v>37</v>
      </c>
      <c r="B23" s="17" t="s">
        <v>32</v>
      </c>
      <c r="C23" s="17"/>
      <c r="D23" s="17"/>
      <c r="E23" s="47"/>
      <c r="F23" s="48"/>
      <c r="G23" s="17"/>
      <c r="H23" s="47"/>
      <c r="I23" s="47"/>
      <c r="J23" s="48"/>
      <c r="K23" s="17"/>
      <c r="L23" s="17"/>
      <c r="M23" s="25"/>
    </row>
    <row r="24" spans="1:13" ht="15.75" customHeight="1" x14ac:dyDescent="0.2">
      <c r="A24" s="17"/>
      <c r="B24" s="17"/>
      <c r="C24" s="17"/>
      <c r="D24" s="17"/>
      <c r="E24" s="47"/>
      <c r="F24" s="48"/>
      <c r="G24" s="17"/>
      <c r="H24" s="47"/>
      <c r="I24" s="47"/>
      <c r="J24" s="48"/>
      <c r="K24" s="17"/>
      <c r="L24" s="17"/>
      <c r="M24" s="25"/>
    </row>
    <row r="25" spans="1:13" ht="15.75" customHeight="1" x14ac:dyDescent="0.2">
      <c r="A25" s="17"/>
      <c r="B25" s="17"/>
      <c r="C25" s="17"/>
      <c r="D25" s="17"/>
      <c r="E25" s="47"/>
      <c r="F25" s="48"/>
      <c r="G25" s="17"/>
      <c r="H25" s="47"/>
      <c r="I25" s="47"/>
      <c r="J25" s="48"/>
      <c r="K25" s="17"/>
      <c r="L25" s="17"/>
      <c r="M25" s="25"/>
    </row>
    <row r="26" spans="1:13" ht="15.75" customHeight="1" x14ac:dyDescent="0.2">
      <c r="A26" s="26" t="s">
        <v>39</v>
      </c>
      <c r="B26" s="28" t="s">
        <v>32</v>
      </c>
      <c r="C26" s="28"/>
      <c r="D26" s="28"/>
      <c r="E26" s="49"/>
      <c r="F26" s="50"/>
      <c r="G26" s="28"/>
      <c r="H26" s="49"/>
      <c r="I26" s="49"/>
      <c r="J26" s="50"/>
      <c r="K26" s="28"/>
      <c r="L26" s="28"/>
      <c r="M26" s="36"/>
    </row>
    <row r="27" spans="1:13" ht="15.75" customHeight="1" x14ac:dyDescent="0.2">
      <c r="A27" s="28"/>
      <c r="B27" s="28"/>
      <c r="C27" s="28"/>
      <c r="D27" s="28"/>
      <c r="E27" s="49"/>
      <c r="F27" s="50"/>
      <c r="G27" s="28"/>
      <c r="H27" s="49"/>
      <c r="I27" s="49"/>
      <c r="J27" s="50"/>
      <c r="K27" s="28"/>
      <c r="L27" s="28"/>
      <c r="M27" s="36"/>
    </row>
    <row r="28" spans="1:13" ht="15.75" customHeight="1" x14ac:dyDescent="0.2">
      <c r="A28" s="28"/>
      <c r="B28" s="28"/>
      <c r="C28" s="28"/>
      <c r="D28" s="28"/>
      <c r="E28" s="49"/>
      <c r="F28" s="50"/>
      <c r="G28" s="28"/>
      <c r="H28" s="49"/>
      <c r="I28" s="49"/>
      <c r="J28" s="50"/>
      <c r="K28" s="28"/>
      <c r="L28" s="28"/>
      <c r="M28" s="36"/>
    </row>
    <row r="29" spans="1:13" ht="15.75" customHeight="1" x14ac:dyDescent="0.2">
      <c r="A29" s="15" t="s">
        <v>40</v>
      </c>
      <c r="B29" s="17" t="s">
        <v>32</v>
      </c>
      <c r="C29" s="17"/>
      <c r="D29" s="17"/>
      <c r="E29" s="47"/>
      <c r="F29" s="48"/>
      <c r="G29" s="17"/>
      <c r="H29" s="47"/>
      <c r="I29" s="47"/>
      <c r="J29" s="48"/>
      <c r="K29" s="17"/>
      <c r="L29" s="17"/>
      <c r="M29" s="25"/>
    </row>
    <row r="30" spans="1:13" ht="15.75" customHeight="1" x14ac:dyDescent="0.2">
      <c r="A30" s="17"/>
      <c r="B30" s="17"/>
      <c r="C30" s="17"/>
      <c r="D30" s="17"/>
      <c r="E30" s="47"/>
      <c r="F30" s="48"/>
      <c r="G30" s="17"/>
      <c r="H30" s="47"/>
      <c r="I30" s="47"/>
      <c r="J30" s="48"/>
      <c r="K30" s="17"/>
      <c r="L30" s="17"/>
      <c r="M30" s="25"/>
    </row>
    <row r="31" spans="1:13" ht="15.75" customHeight="1" x14ac:dyDescent="0.2">
      <c r="A31" s="17"/>
      <c r="B31" s="17"/>
      <c r="C31" s="17"/>
      <c r="D31" s="17"/>
      <c r="E31" s="47"/>
      <c r="F31" s="48"/>
      <c r="G31" s="17"/>
      <c r="H31" s="47"/>
      <c r="I31" s="47"/>
      <c r="J31" s="48"/>
      <c r="K31" s="17"/>
      <c r="L31" s="17"/>
      <c r="M31" s="25"/>
    </row>
    <row r="32" spans="1:13" ht="15.75" customHeight="1" x14ac:dyDescent="0.2">
      <c r="A32" s="26" t="s">
        <v>41</v>
      </c>
      <c r="B32" s="28" t="s">
        <v>32</v>
      </c>
      <c r="C32" s="28"/>
      <c r="D32" s="28"/>
      <c r="E32" s="49"/>
      <c r="F32" s="50"/>
      <c r="G32" s="28"/>
      <c r="H32" s="49"/>
      <c r="I32" s="49"/>
      <c r="J32" s="50"/>
      <c r="K32" s="28"/>
      <c r="L32" s="28"/>
      <c r="M32" s="36"/>
    </row>
    <row r="33" spans="1:13" ht="15.75" customHeight="1" x14ac:dyDescent="0.2">
      <c r="A33" s="28"/>
      <c r="B33" s="28"/>
      <c r="C33" s="28"/>
      <c r="D33" s="28"/>
      <c r="E33" s="49"/>
      <c r="F33" s="50"/>
      <c r="G33" s="28"/>
      <c r="H33" s="49"/>
      <c r="I33" s="49"/>
      <c r="J33" s="50"/>
      <c r="K33" s="28"/>
      <c r="L33" s="28"/>
      <c r="M33" s="36"/>
    </row>
    <row r="34" spans="1:13" ht="15.75" customHeight="1" x14ac:dyDescent="0.2">
      <c r="A34" s="28"/>
      <c r="B34" s="28"/>
      <c r="C34" s="28"/>
      <c r="D34" s="28"/>
      <c r="E34" s="49"/>
      <c r="F34" s="50"/>
      <c r="G34" s="28"/>
      <c r="H34" s="49"/>
      <c r="I34" s="49"/>
      <c r="J34" s="50"/>
      <c r="K34" s="28"/>
      <c r="L34" s="28"/>
      <c r="M34" s="36"/>
    </row>
    <row r="35" spans="1:13" ht="15.75" customHeight="1" x14ac:dyDescent="0.2">
      <c r="A35" s="15" t="s">
        <v>42</v>
      </c>
      <c r="B35" s="17" t="s">
        <v>32</v>
      </c>
      <c r="C35" s="17"/>
      <c r="D35" s="17"/>
      <c r="E35" s="47"/>
      <c r="F35" s="48"/>
      <c r="G35" s="17"/>
      <c r="H35" s="47"/>
      <c r="I35" s="47"/>
      <c r="J35" s="48"/>
      <c r="K35" s="17"/>
      <c r="L35" s="17"/>
      <c r="M35" s="25"/>
    </row>
    <row r="36" spans="1:13" ht="15.75" customHeight="1" x14ac:dyDescent="0.2">
      <c r="A36" s="17"/>
      <c r="B36" s="17"/>
      <c r="C36" s="17"/>
      <c r="D36" s="17"/>
      <c r="E36" s="47"/>
      <c r="F36" s="48"/>
      <c r="G36" s="17"/>
      <c r="H36" s="47"/>
      <c r="I36" s="47"/>
      <c r="J36" s="48"/>
      <c r="K36" s="17"/>
      <c r="L36" s="17"/>
      <c r="M36" s="25"/>
    </row>
    <row r="37" spans="1:13" ht="15.75" customHeight="1" x14ac:dyDescent="0.2">
      <c r="A37" s="17"/>
      <c r="B37" s="17"/>
      <c r="C37" s="17"/>
      <c r="D37" s="17"/>
      <c r="E37" s="47"/>
      <c r="F37" s="48"/>
      <c r="G37" s="17"/>
      <c r="H37" s="47"/>
      <c r="I37" s="47"/>
      <c r="J37" s="48"/>
      <c r="K37" s="17"/>
      <c r="L37" s="17"/>
      <c r="M37" s="25"/>
    </row>
    <row r="38" spans="1:13" ht="15.75" customHeight="1" x14ac:dyDescent="0.2">
      <c r="A38" s="26" t="s">
        <v>44</v>
      </c>
      <c r="B38" s="28" t="s">
        <v>46</v>
      </c>
      <c r="C38" s="28"/>
      <c r="D38" s="28"/>
      <c r="E38" s="49"/>
      <c r="F38" s="50"/>
      <c r="G38" s="28"/>
      <c r="H38" s="49"/>
      <c r="I38" s="49"/>
      <c r="J38" s="50"/>
      <c r="K38" s="28"/>
      <c r="L38" s="28"/>
      <c r="M38" s="36"/>
    </row>
    <row r="39" spans="1:13" ht="15.75" customHeight="1" x14ac:dyDescent="0.2">
      <c r="A39" s="28"/>
      <c r="B39" s="28"/>
      <c r="C39" s="28"/>
      <c r="D39" s="28"/>
      <c r="E39" s="49"/>
      <c r="F39" s="50"/>
      <c r="G39" s="28"/>
      <c r="H39" s="49"/>
      <c r="I39" s="49"/>
      <c r="J39" s="50"/>
      <c r="K39" s="28"/>
      <c r="L39" s="28"/>
      <c r="M39" s="36"/>
    </row>
    <row r="40" spans="1:13" ht="15.75" customHeight="1" x14ac:dyDescent="0.2">
      <c r="A40" s="28"/>
      <c r="B40" s="28"/>
      <c r="C40" s="28"/>
      <c r="D40" s="28"/>
      <c r="E40" s="49"/>
      <c r="F40" s="50"/>
      <c r="G40" s="28"/>
      <c r="H40" s="49"/>
      <c r="I40" s="49"/>
      <c r="J40" s="50"/>
      <c r="K40" s="28"/>
      <c r="L40" s="28"/>
      <c r="M40" s="36"/>
    </row>
    <row r="41" spans="1:13" ht="15.75" customHeight="1" x14ac:dyDescent="0.2">
      <c r="A41" s="15" t="s">
        <v>47</v>
      </c>
      <c r="B41" s="17" t="s">
        <v>49</v>
      </c>
      <c r="C41" s="17"/>
      <c r="D41" s="17"/>
      <c r="E41" s="47"/>
      <c r="F41" s="48"/>
      <c r="G41" s="17"/>
      <c r="H41" s="47"/>
      <c r="I41" s="47"/>
      <c r="J41" s="48"/>
      <c r="K41" s="17"/>
      <c r="L41" s="17"/>
      <c r="M41" s="25"/>
    </row>
    <row r="42" spans="1:13" ht="15.75" customHeight="1" x14ac:dyDescent="0.2">
      <c r="A42" s="17"/>
      <c r="B42" s="17"/>
      <c r="C42" s="17"/>
      <c r="D42" s="17"/>
      <c r="E42" s="47"/>
      <c r="F42" s="48"/>
      <c r="G42" s="17"/>
      <c r="H42" s="47"/>
      <c r="I42" s="47"/>
      <c r="J42" s="48"/>
      <c r="K42" s="17"/>
      <c r="L42" s="17"/>
      <c r="M42" s="25"/>
    </row>
    <row r="43" spans="1:13" ht="15.75" customHeight="1" x14ac:dyDescent="0.2">
      <c r="A43" s="17"/>
      <c r="B43" s="17"/>
      <c r="C43" s="17"/>
      <c r="D43" s="17"/>
      <c r="E43" s="47"/>
      <c r="F43" s="48"/>
      <c r="G43" s="17"/>
      <c r="H43" s="47"/>
      <c r="I43" s="47"/>
      <c r="J43" s="48"/>
      <c r="K43" s="17"/>
      <c r="L43" s="17"/>
      <c r="M43" s="25"/>
    </row>
    <row r="44" spans="1:13" ht="15.75" customHeight="1" x14ac:dyDescent="0.2">
      <c r="A44" s="26" t="s">
        <v>50</v>
      </c>
      <c r="B44" s="28" t="s">
        <v>49</v>
      </c>
      <c r="C44" s="28"/>
      <c r="D44" s="28"/>
      <c r="E44" s="49"/>
      <c r="F44" s="50"/>
      <c r="G44" s="28"/>
      <c r="H44" s="49"/>
      <c r="I44" s="49"/>
      <c r="J44" s="50"/>
      <c r="K44" s="28"/>
      <c r="L44" s="28"/>
      <c r="M44" s="36"/>
    </row>
    <row r="45" spans="1:13" ht="15.75" customHeight="1" x14ac:dyDescent="0.2">
      <c r="A45" s="28"/>
      <c r="B45" s="28"/>
      <c r="C45" s="28"/>
      <c r="D45" s="28"/>
      <c r="E45" s="49"/>
      <c r="F45" s="50"/>
      <c r="G45" s="28"/>
      <c r="H45" s="49"/>
      <c r="I45" s="49"/>
      <c r="J45" s="50"/>
      <c r="K45" s="28"/>
      <c r="L45" s="28"/>
      <c r="M45" s="36"/>
    </row>
    <row r="46" spans="1:13" ht="15.75" customHeight="1" x14ac:dyDescent="0.2">
      <c r="A46" s="28"/>
      <c r="B46" s="28"/>
      <c r="C46" s="28"/>
      <c r="D46" s="28"/>
      <c r="E46" s="49"/>
      <c r="F46" s="50"/>
      <c r="G46" s="28"/>
      <c r="H46" s="49"/>
      <c r="I46" s="49"/>
      <c r="J46" s="50"/>
      <c r="K46" s="28"/>
      <c r="L46" s="28"/>
      <c r="M46" s="36"/>
    </row>
    <row r="47" spans="1:13" ht="15.75" customHeight="1" x14ac:dyDescent="0.2">
      <c r="A47" s="15" t="s">
        <v>52</v>
      </c>
      <c r="B47" s="17" t="s">
        <v>54</v>
      </c>
      <c r="C47" s="17"/>
      <c r="D47" s="17"/>
      <c r="E47" s="47"/>
      <c r="F47" s="48"/>
      <c r="G47" s="17"/>
      <c r="H47" s="47"/>
      <c r="I47" s="47"/>
      <c r="J47" s="48"/>
      <c r="K47" s="17"/>
      <c r="L47" s="17"/>
      <c r="M47" s="25"/>
    </row>
    <row r="48" spans="1:13" ht="15.75" customHeight="1" x14ac:dyDescent="0.2">
      <c r="A48" s="17"/>
      <c r="B48" s="17"/>
      <c r="C48" s="17"/>
      <c r="D48" s="17"/>
      <c r="E48" s="47"/>
      <c r="F48" s="48"/>
      <c r="G48" s="17"/>
      <c r="H48" s="47"/>
      <c r="I48" s="47"/>
      <c r="J48" s="48"/>
      <c r="K48" s="17"/>
      <c r="L48" s="17"/>
      <c r="M48" s="25"/>
    </row>
    <row r="49" spans="1:13" ht="15.75" customHeight="1" x14ac:dyDescent="0.2">
      <c r="A49" s="17"/>
      <c r="B49" s="17"/>
      <c r="C49" s="17"/>
      <c r="D49" s="17"/>
      <c r="E49" s="47"/>
      <c r="F49" s="48"/>
      <c r="G49" s="17"/>
      <c r="H49" s="47"/>
      <c r="I49" s="47"/>
      <c r="J49" s="48"/>
      <c r="K49" s="17"/>
      <c r="L49" s="17"/>
      <c r="M49" s="25"/>
    </row>
    <row r="50" spans="1:13" ht="15.75" customHeight="1" x14ac:dyDescent="0.2">
      <c r="A50" s="26" t="s">
        <v>55</v>
      </c>
      <c r="B50" s="28" t="s">
        <v>57</v>
      </c>
      <c r="C50" s="28"/>
      <c r="D50" s="28"/>
      <c r="E50" s="49"/>
      <c r="F50" s="50"/>
      <c r="G50" s="28"/>
      <c r="H50" s="49"/>
      <c r="I50" s="49"/>
      <c r="J50" s="50"/>
      <c r="K50" s="28"/>
      <c r="L50" s="28"/>
      <c r="M50" s="36"/>
    </row>
    <row r="51" spans="1:13" ht="15.75" customHeight="1" x14ac:dyDescent="0.2">
      <c r="A51" s="28"/>
      <c r="B51" s="28"/>
      <c r="C51" s="28"/>
      <c r="D51" s="28"/>
      <c r="E51" s="49"/>
      <c r="F51" s="50"/>
      <c r="G51" s="28"/>
      <c r="H51" s="49"/>
      <c r="I51" s="49"/>
      <c r="J51" s="50"/>
      <c r="K51" s="28"/>
      <c r="L51" s="28"/>
      <c r="M51" s="36"/>
    </row>
    <row r="52" spans="1:13" ht="15.75" customHeight="1" x14ac:dyDescent="0.2">
      <c r="A52" s="28"/>
      <c r="B52" s="28"/>
      <c r="C52" s="28"/>
      <c r="D52" s="28"/>
      <c r="E52" s="49"/>
      <c r="F52" s="50"/>
      <c r="G52" s="28"/>
      <c r="H52" s="49"/>
      <c r="I52" s="49"/>
      <c r="J52" s="50"/>
      <c r="K52" s="28"/>
      <c r="L52" s="28"/>
      <c r="M52" s="36"/>
    </row>
    <row r="53" spans="1:13" ht="15.75" customHeight="1" x14ac:dyDescent="0.2">
      <c r="A53" s="15" t="s">
        <v>58</v>
      </c>
      <c r="B53" s="17" t="s">
        <v>60</v>
      </c>
      <c r="C53" s="17"/>
      <c r="D53" s="17"/>
      <c r="E53" s="47"/>
      <c r="F53" s="48"/>
      <c r="G53" s="17"/>
      <c r="H53" s="47"/>
      <c r="I53" s="47"/>
      <c r="J53" s="48"/>
      <c r="K53" s="17"/>
      <c r="L53" s="17"/>
      <c r="M53" s="25"/>
    </row>
    <row r="54" spans="1:13" ht="15.75" customHeight="1" x14ac:dyDescent="0.2">
      <c r="A54" s="17"/>
      <c r="B54" s="17"/>
      <c r="C54" s="17"/>
      <c r="D54" s="17"/>
      <c r="E54" s="47"/>
      <c r="F54" s="48"/>
      <c r="G54" s="17"/>
      <c r="H54" s="47"/>
      <c r="I54" s="47"/>
      <c r="J54" s="48"/>
      <c r="K54" s="17"/>
      <c r="L54" s="17"/>
      <c r="M54" s="25"/>
    </row>
    <row r="55" spans="1:13" ht="15.75" customHeight="1" x14ac:dyDescent="0.2">
      <c r="A55" s="17"/>
      <c r="B55" s="17"/>
      <c r="C55" s="17"/>
      <c r="D55" s="17"/>
      <c r="E55" s="47"/>
      <c r="F55" s="48"/>
      <c r="G55" s="17"/>
      <c r="H55" s="47"/>
      <c r="I55" s="47"/>
      <c r="J55" s="48"/>
      <c r="K55" s="17"/>
      <c r="L55" s="17"/>
      <c r="M55" s="25"/>
    </row>
    <row r="56" spans="1:13" ht="15.75" customHeight="1" x14ac:dyDescent="0.2">
      <c r="A56" s="26" t="s">
        <v>61</v>
      </c>
      <c r="B56" s="28" t="s">
        <v>63</v>
      </c>
      <c r="C56" s="28"/>
      <c r="D56" s="28"/>
      <c r="E56" s="49"/>
      <c r="F56" s="50"/>
      <c r="G56" s="28"/>
      <c r="H56" s="49"/>
      <c r="I56" s="49"/>
      <c r="J56" s="50"/>
      <c r="K56" s="28"/>
      <c r="L56" s="28"/>
      <c r="M56" s="36"/>
    </row>
    <row r="57" spans="1:13" ht="15.75" customHeight="1" x14ac:dyDescent="0.2">
      <c r="A57" s="28"/>
      <c r="B57" s="28"/>
      <c r="C57" s="28"/>
      <c r="D57" s="28"/>
      <c r="E57" s="49"/>
      <c r="F57" s="50"/>
      <c r="G57" s="28"/>
      <c r="H57" s="49"/>
      <c r="I57" s="49"/>
      <c r="J57" s="50"/>
      <c r="K57" s="28"/>
      <c r="L57" s="28"/>
      <c r="M57" s="36"/>
    </row>
    <row r="58" spans="1:13" ht="15.75" customHeight="1" x14ac:dyDescent="0.2">
      <c r="A58" s="28"/>
      <c r="B58" s="28"/>
      <c r="C58" s="28"/>
      <c r="D58" s="28"/>
      <c r="E58" s="49"/>
      <c r="F58" s="50"/>
      <c r="G58" s="28"/>
      <c r="H58" s="49"/>
      <c r="I58" s="49"/>
      <c r="J58" s="50"/>
      <c r="K58" s="28"/>
      <c r="L58" s="28"/>
      <c r="M58" s="36"/>
    </row>
    <row r="59" spans="1:13" ht="15.75" customHeight="1" x14ac:dyDescent="0.2">
      <c r="A59" s="15" t="s">
        <v>64</v>
      </c>
      <c r="B59" s="17" t="s">
        <v>63</v>
      </c>
      <c r="C59" s="17"/>
      <c r="D59" s="17"/>
      <c r="E59" s="47"/>
      <c r="F59" s="48"/>
      <c r="G59" s="17"/>
      <c r="H59" s="47"/>
      <c r="I59" s="47"/>
      <c r="J59" s="48"/>
      <c r="K59" s="17"/>
      <c r="L59" s="17"/>
      <c r="M59" s="25"/>
    </row>
    <row r="60" spans="1:13" ht="15.75" customHeight="1" x14ac:dyDescent="0.2">
      <c r="A60" s="17"/>
      <c r="B60" s="17"/>
      <c r="C60" s="17"/>
      <c r="D60" s="17"/>
      <c r="E60" s="47"/>
      <c r="F60" s="48"/>
      <c r="G60" s="17"/>
      <c r="H60" s="47"/>
      <c r="I60" s="47"/>
      <c r="J60" s="48"/>
      <c r="K60" s="17"/>
      <c r="L60" s="17"/>
      <c r="M60" s="25"/>
    </row>
    <row r="61" spans="1:13" ht="15.75" customHeight="1" x14ac:dyDescent="0.2">
      <c r="A61" s="17"/>
      <c r="B61" s="17"/>
      <c r="C61" s="17"/>
      <c r="D61" s="17"/>
      <c r="E61" s="47"/>
      <c r="F61" s="48"/>
      <c r="G61" s="17"/>
      <c r="H61" s="47"/>
      <c r="I61" s="47"/>
      <c r="J61" s="48"/>
      <c r="K61" s="17"/>
      <c r="L61" s="17"/>
      <c r="M61" s="25"/>
    </row>
    <row r="62" spans="1:13" ht="15.75" customHeight="1" x14ac:dyDescent="0.2">
      <c r="A62" s="26" t="s">
        <v>66</v>
      </c>
      <c r="B62" s="28" t="s">
        <v>63</v>
      </c>
      <c r="C62" s="28"/>
      <c r="D62" s="28"/>
      <c r="E62" s="49"/>
      <c r="F62" s="50"/>
      <c r="G62" s="28"/>
      <c r="H62" s="49"/>
      <c r="I62" s="49"/>
      <c r="J62" s="50"/>
      <c r="K62" s="28"/>
      <c r="L62" s="28"/>
      <c r="M62" s="36"/>
    </row>
    <row r="63" spans="1:13" ht="15.75" customHeight="1" x14ac:dyDescent="0.2">
      <c r="A63" s="28"/>
      <c r="B63" s="28"/>
      <c r="C63" s="28"/>
      <c r="D63" s="28"/>
      <c r="E63" s="49"/>
      <c r="F63" s="50"/>
      <c r="G63" s="28"/>
      <c r="H63" s="49"/>
      <c r="I63" s="49"/>
      <c r="J63" s="50"/>
      <c r="K63" s="28"/>
      <c r="L63" s="28"/>
      <c r="M63" s="36"/>
    </row>
    <row r="64" spans="1:13" ht="15.75" customHeight="1" x14ac:dyDescent="0.2">
      <c r="A64" s="28"/>
      <c r="B64" s="28"/>
      <c r="C64" s="28"/>
      <c r="D64" s="28"/>
      <c r="E64" s="49"/>
      <c r="F64" s="50"/>
      <c r="G64" s="28"/>
      <c r="H64" s="49"/>
      <c r="I64" s="49"/>
      <c r="J64" s="50"/>
      <c r="K64" s="28"/>
      <c r="L64" s="28"/>
      <c r="M64" s="36"/>
    </row>
    <row r="65" spans="1:13" ht="15.75" customHeight="1" x14ac:dyDescent="0.2">
      <c r="A65" s="15" t="s">
        <v>68</v>
      </c>
      <c r="B65" s="17" t="s">
        <v>70</v>
      </c>
      <c r="C65" s="17"/>
      <c r="D65" s="17"/>
      <c r="E65" s="47"/>
      <c r="F65" s="48"/>
      <c r="G65" s="17"/>
      <c r="H65" s="47"/>
      <c r="I65" s="47"/>
      <c r="J65" s="48"/>
      <c r="K65" s="17"/>
      <c r="L65" s="17"/>
      <c r="M65" s="25"/>
    </row>
    <row r="66" spans="1:13" ht="15.75" customHeight="1" x14ac:dyDescent="0.2">
      <c r="A66" s="17"/>
      <c r="B66" s="17"/>
      <c r="C66" s="17"/>
      <c r="D66" s="17"/>
      <c r="E66" s="47"/>
      <c r="F66" s="48"/>
      <c r="G66" s="17"/>
      <c r="H66" s="47"/>
      <c r="I66" s="47"/>
      <c r="J66" s="48"/>
      <c r="K66" s="17"/>
      <c r="L66" s="17"/>
      <c r="M66" s="25"/>
    </row>
    <row r="67" spans="1:13" ht="15.75" customHeight="1" x14ac:dyDescent="0.2">
      <c r="A67" s="17"/>
      <c r="B67" s="17"/>
      <c r="C67" s="17"/>
      <c r="D67" s="17"/>
      <c r="E67" s="47"/>
      <c r="F67" s="48"/>
      <c r="G67" s="17"/>
      <c r="H67" s="47"/>
      <c r="I67" s="47"/>
      <c r="J67" s="48"/>
      <c r="K67" s="17"/>
      <c r="L67" s="17"/>
      <c r="M67" s="25"/>
    </row>
    <row r="68" spans="1:13" ht="15.75" customHeight="1" x14ac:dyDescent="0.2">
      <c r="A68" s="26" t="s">
        <v>71</v>
      </c>
      <c r="B68" s="28" t="s">
        <v>73</v>
      </c>
      <c r="C68" s="28"/>
      <c r="D68" s="28"/>
      <c r="E68" s="49"/>
      <c r="F68" s="50"/>
      <c r="G68" s="28"/>
      <c r="H68" s="49"/>
      <c r="I68" s="49"/>
      <c r="J68" s="50"/>
      <c r="K68" s="28"/>
      <c r="L68" s="28"/>
      <c r="M68" s="36"/>
    </row>
    <row r="69" spans="1:13" ht="15.75" customHeight="1" x14ac:dyDescent="0.2">
      <c r="A69" s="28"/>
      <c r="B69" s="28"/>
      <c r="C69" s="28"/>
      <c r="D69" s="28"/>
      <c r="E69" s="49"/>
      <c r="F69" s="50"/>
      <c r="G69" s="28"/>
      <c r="H69" s="49"/>
      <c r="I69" s="49"/>
      <c r="J69" s="50"/>
      <c r="K69" s="28"/>
      <c r="L69" s="28"/>
      <c r="M69" s="36"/>
    </row>
    <row r="70" spans="1:13" ht="15.75" customHeight="1" x14ac:dyDescent="0.2">
      <c r="A70" s="28"/>
      <c r="B70" s="28"/>
      <c r="C70" s="28"/>
      <c r="D70" s="28"/>
      <c r="E70" s="49"/>
      <c r="F70" s="50"/>
      <c r="G70" s="28"/>
      <c r="H70" s="49"/>
      <c r="I70" s="49"/>
      <c r="J70" s="50"/>
      <c r="K70" s="28"/>
      <c r="L70" s="28"/>
      <c r="M70" s="36"/>
    </row>
    <row r="71" spans="1:13" ht="15.75" customHeight="1" x14ac:dyDescent="0.2">
      <c r="A71" s="15" t="s">
        <v>74</v>
      </c>
      <c r="B71" s="17" t="s">
        <v>73</v>
      </c>
      <c r="C71" s="17"/>
      <c r="D71" s="17"/>
      <c r="E71" s="47"/>
      <c r="F71" s="48"/>
      <c r="G71" s="17"/>
      <c r="H71" s="47"/>
      <c r="I71" s="47"/>
      <c r="J71" s="48"/>
      <c r="K71" s="17"/>
      <c r="L71" s="17"/>
      <c r="M71" s="25"/>
    </row>
    <row r="72" spans="1:13" ht="15.75" customHeight="1" x14ac:dyDescent="0.2">
      <c r="A72" s="17"/>
      <c r="B72" s="17"/>
      <c r="C72" s="17"/>
      <c r="D72" s="17"/>
      <c r="E72" s="47"/>
      <c r="F72" s="48"/>
      <c r="G72" s="17"/>
      <c r="H72" s="47"/>
      <c r="I72" s="47"/>
      <c r="J72" s="48"/>
      <c r="K72" s="17"/>
      <c r="L72" s="17"/>
      <c r="M72" s="25"/>
    </row>
    <row r="73" spans="1:13" ht="15.75" customHeight="1" x14ac:dyDescent="0.2">
      <c r="A73" s="17"/>
      <c r="B73" s="17"/>
      <c r="C73" s="17"/>
      <c r="D73" s="17"/>
      <c r="E73" s="47"/>
      <c r="F73" s="48"/>
      <c r="G73" s="17"/>
      <c r="H73" s="47"/>
      <c r="I73" s="47"/>
      <c r="J73" s="48"/>
      <c r="K73" s="17"/>
      <c r="L73" s="17"/>
      <c r="M73" s="25"/>
    </row>
    <row r="74" spans="1:13" ht="15.75" customHeight="1" x14ac:dyDescent="0.2">
      <c r="A74" s="26" t="s">
        <v>76</v>
      </c>
      <c r="B74" s="28" t="s">
        <v>78</v>
      </c>
      <c r="C74" s="28"/>
      <c r="D74" s="28"/>
      <c r="E74" s="49"/>
      <c r="F74" s="50"/>
      <c r="G74" s="28"/>
      <c r="H74" s="49"/>
      <c r="I74" s="49"/>
      <c r="J74" s="50"/>
      <c r="K74" s="28"/>
      <c r="L74" s="28"/>
      <c r="M74" s="36"/>
    </row>
    <row r="75" spans="1:13" ht="15.75" customHeight="1" x14ac:dyDescent="0.2">
      <c r="A75" s="28"/>
      <c r="B75" s="28"/>
      <c r="C75" s="28"/>
      <c r="D75" s="28"/>
      <c r="E75" s="49"/>
      <c r="F75" s="50"/>
      <c r="G75" s="28"/>
      <c r="H75" s="49"/>
      <c r="I75" s="49"/>
      <c r="J75" s="50"/>
      <c r="K75" s="28"/>
      <c r="L75" s="28"/>
      <c r="M75" s="36"/>
    </row>
    <row r="76" spans="1:13" ht="15.75" customHeight="1" x14ac:dyDescent="0.2">
      <c r="A76" s="28"/>
      <c r="B76" s="28"/>
      <c r="C76" s="28"/>
      <c r="D76" s="28"/>
      <c r="E76" s="49"/>
      <c r="F76" s="50"/>
      <c r="G76" s="28"/>
      <c r="H76" s="49"/>
      <c r="I76" s="49"/>
      <c r="J76" s="50"/>
      <c r="K76" s="28"/>
      <c r="L76" s="28"/>
      <c r="M76" s="36"/>
    </row>
    <row r="77" spans="1:13" ht="15.75" customHeight="1" x14ac:dyDescent="0.2">
      <c r="A77" s="15" t="s">
        <v>79</v>
      </c>
      <c r="B77" s="17" t="s">
        <v>81</v>
      </c>
      <c r="C77" s="17"/>
      <c r="D77" s="17"/>
      <c r="E77" s="47"/>
      <c r="F77" s="48"/>
      <c r="G77" s="17"/>
      <c r="H77" s="47"/>
      <c r="I77" s="47"/>
      <c r="J77" s="48"/>
      <c r="K77" s="17"/>
      <c r="L77" s="17"/>
      <c r="M77" s="25"/>
    </row>
    <row r="78" spans="1:13" ht="15.75" customHeight="1" x14ac:dyDescent="0.2">
      <c r="A78" s="17"/>
      <c r="B78" s="17"/>
      <c r="C78" s="17"/>
      <c r="D78" s="17"/>
      <c r="E78" s="47"/>
      <c r="F78" s="48"/>
      <c r="G78" s="17"/>
      <c r="H78" s="47"/>
      <c r="I78" s="47"/>
      <c r="J78" s="48"/>
      <c r="K78" s="17"/>
      <c r="L78" s="17"/>
      <c r="M78" s="25"/>
    </row>
    <row r="79" spans="1:13" ht="15.75" customHeight="1" x14ac:dyDescent="0.2">
      <c r="A79" s="17"/>
      <c r="B79" s="17"/>
      <c r="C79" s="17"/>
      <c r="D79" s="17"/>
      <c r="E79" s="47"/>
      <c r="F79" s="48"/>
      <c r="G79" s="17"/>
      <c r="H79" s="47"/>
      <c r="I79" s="47"/>
      <c r="J79" s="48"/>
      <c r="K79" s="17"/>
      <c r="L79" s="17"/>
      <c r="M79" s="25"/>
    </row>
    <row r="80" spans="1:13" ht="15.75" customHeight="1" x14ac:dyDescent="0.2">
      <c r="A80" s="26" t="s">
        <v>82</v>
      </c>
      <c r="B80" s="28" t="s">
        <v>84</v>
      </c>
      <c r="C80" s="28"/>
      <c r="D80" s="28"/>
      <c r="E80" s="49"/>
      <c r="F80" s="50"/>
      <c r="G80" s="28"/>
      <c r="H80" s="49"/>
      <c r="I80" s="49"/>
      <c r="J80" s="50"/>
      <c r="K80" s="28"/>
      <c r="L80" s="28"/>
      <c r="M80" s="36"/>
    </row>
    <row r="81" spans="1:13" ht="15.75" customHeight="1" x14ac:dyDescent="0.2">
      <c r="A81" s="28"/>
      <c r="B81" s="28"/>
      <c r="C81" s="28"/>
      <c r="D81" s="28"/>
      <c r="E81" s="49"/>
      <c r="F81" s="50"/>
      <c r="G81" s="28"/>
      <c r="H81" s="49"/>
      <c r="I81" s="49"/>
      <c r="J81" s="50"/>
      <c r="K81" s="28"/>
      <c r="L81" s="28"/>
      <c r="M81" s="36"/>
    </row>
    <row r="82" spans="1:13" ht="15.75" customHeight="1" x14ac:dyDescent="0.2">
      <c r="A82" s="28"/>
      <c r="B82" s="28"/>
      <c r="C82" s="28"/>
      <c r="D82" s="28"/>
      <c r="E82" s="49"/>
      <c r="F82" s="50"/>
      <c r="G82" s="28"/>
      <c r="H82" s="49"/>
      <c r="I82" s="49"/>
      <c r="J82" s="50"/>
      <c r="K82" s="28"/>
      <c r="L82" s="28"/>
      <c r="M82" s="36"/>
    </row>
    <row r="83" spans="1:13" ht="15.75" customHeight="1" x14ac:dyDescent="0.2">
      <c r="A83" s="15" t="s">
        <v>85</v>
      </c>
      <c r="B83" s="17" t="s">
        <v>84</v>
      </c>
      <c r="C83" s="17"/>
      <c r="D83" s="17"/>
      <c r="E83" s="47"/>
      <c r="F83" s="48"/>
      <c r="G83" s="17"/>
      <c r="H83" s="47"/>
      <c r="I83" s="47"/>
      <c r="J83" s="48"/>
      <c r="K83" s="17"/>
      <c r="L83" s="17"/>
      <c r="M83" s="25"/>
    </row>
    <row r="84" spans="1:13" ht="15.75" customHeight="1" x14ac:dyDescent="0.2">
      <c r="A84" s="17"/>
      <c r="B84" s="17"/>
      <c r="C84" s="17"/>
      <c r="D84" s="17"/>
      <c r="E84" s="47"/>
      <c r="F84" s="48"/>
      <c r="G84" s="17"/>
      <c r="H84" s="47"/>
      <c r="I84" s="47"/>
      <c r="J84" s="48"/>
      <c r="K84" s="17"/>
      <c r="L84" s="17"/>
      <c r="M84" s="25"/>
    </row>
    <row r="85" spans="1:13" ht="15.75" customHeight="1" x14ac:dyDescent="0.2">
      <c r="A85" s="17"/>
      <c r="B85" s="17"/>
      <c r="C85" s="17"/>
      <c r="D85" s="17"/>
      <c r="E85" s="47"/>
      <c r="F85" s="48"/>
      <c r="G85" s="17"/>
      <c r="H85" s="47"/>
      <c r="I85" s="47"/>
      <c r="J85" s="48"/>
      <c r="K85" s="17"/>
      <c r="L85" s="17"/>
      <c r="M85" s="25"/>
    </row>
    <row r="86" spans="1:13" ht="15.75" customHeight="1" x14ac:dyDescent="0.2">
      <c r="A86" s="26" t="s">
        <v>87</v>
      </c>
      <c r="B86" s="28" t="s">
        <v>89</v>
      </c>
      <c r="C86" s="28"/>
      <c r="D86" s="28"/>
      <c r="E86" s="49"/>
      <c r="F86" s="50"/>
      <c r="G86" s="28"/>
      <c r="H86" s="49"/>
      <c r="I86" s="49"/>
      <c r="J86" s="50"/>
      <c r="K86" s="28"/>
      <c r="L86" s="28"/>
      <c r="M86" s="36"/>
    </row>
    <row r="87" spans="1:13" ht="15.75" customHeight="1" x14ac:dyDescent="0.2">
      <c r="A87" s="28"/>
      <c r="B87" s="28"/>
      <c r="C87" s="28"/>
      <c r="D87" s="28"/>
      <c r="E87" s="49"/>
      <c r="F87" s="50"/>
      <c r="G87" s="28"/>
      <c r="H87" s="49"/>
      <c r="I87" s="49"/>
      <c r="J87" s="50"/>
      <c r="K87" s="28"/>
      <c r="L87" s="28"/>
      <c r="M87" s="36"/>
    </row>
    <row r="88" spans="1:13" ht="15.75" customHeight="1" x14ac:dyDescent="0.2">
      <c r="A88" s="28"/>
      <c r="B88" s="28"/>
      <c r="C88" s="28"/>
      <c r="D88" s="28"/>
      <c r="E88" s="49"/>
      <c r="F88" s="50"/>
      <c r="G88" s="28"/>
      <c r="H88" s="49"/>
      <c r="I88" s="49"/>
      <c r="J88" s="50"/>
      <c r="K88" s="28"/>
      <c r="L88" s="28"/>
      <c r="M88" s="36"/>
    </row>
    <row r="89" spans="1:13" ht="15.75" customHeight="1" x14ac:dyDescent="0.2">
      <c r="A89" s="15" t="s">
        <v>90</v>
      </c>
      <c r="B89" s="17" t="s">
        <v>89</v>
      </c>
      <c r="C89" s="17"/>
      <c r="D89" s="17"/>
      <c r="E89" s="47"/>
      <c r="F89" s="48"/>
      <c r="G89" s="17"/>
      <c r="H89" s="47"/>
      <c r="I89" s="47"/>
      <c r="J89" s="48"/>
      <c r="K89" s="17"/>
      <c r="L89" s="17"/>
      <c r="M89" s="25"/>
    </row>
    <row r="90" spans="1:13" ht="15.75" customHeight="1" x14ac:dyDescent="0.2">
      <c r="A90" s="17"/>
      <c r="B90" s="17"/>
      <c r="C90" s="17"/>
      <c r="D90" s="17"/>
      <c r="E90" s="47"/>
      <c r="F90" s="48"/>
      <c r="G90" s="17"/>
      <c r="H90" s="47"/>
      <c r="I90" s="47"/>
      <c r="J90" s="48"/>
      <c r="K90" s="17"/>
      <c r="L90" s="17"/>
      <c r="M90" s="25"/>
    </row>
    <row r="91" spans="1:13" ht="15.75" customHeight="1" x14ac:dyDescent="0.2">
      <c r="A91" s="17"/>
      <c r="B91" s="17"/>
      <c r="C91" s="17"/>
      <c r="D91" s="17"/>
      <c r="E91" s="47"/>
      <c r="F91" s="48"/>
      <c r="G91" s="17"/>
      <c r="H91" s="47"/>
      <c r="I91" s="47"/>
      <c r="J91" s="48"/>
      <c r="K91" s="17"/>
      <c r="L91" s="17"/>
      <c r="M91" s="25"/>
    </row>
    <row r="92" spans="1:13" ht="15.75" customHeight="1" x14ac:dyDescent="0.2">
      <c r="A92" s="26" t="s">
        <v>92</v>
      </c>
      <c r="B92" s="28" t="s">
        <v>89</v>
      </c>
      <c r="C92" s="28"/>
      <c r="D92" s="28"/>
      <c r="E92" s="49"/>
      <c r="F92" s="50"/>
      <c r="G92" s="28"/>
      <c r="H92" s="49"/>
      <c r="I92" s="49"/>
      <c r="J92" s="50"/>
      <c r="K92" s="28"/>
      <c r="L92" s="28"/>
      <c r="M92" s="36"/>
    </row>
    <row r="93" spans="1:13" ht="15.75" customHeight="1" x14ac:dyDescent="0.2">
      <c r="A93" s="28"/>
      <c r="B93" s="28"/>
      <c r="C93" s="28"/>
      <c r="D93" s="28"/>
      <c r="E93" s="49"/>
      <c r="F93" s="50"/>
      <c r="G93" s="28"/>
      <c r="H93" s="49"/>
      <c r="I93" s="49"/>
      <c r="J93" s="50"/>
      <c r="K93" s="28"/>
      <c r="L93" s="28"/>
      <c r="M93" s="36"/>
    </row>
    <row r="94" spans="1:13" ht="15.75" customHeight="1" x14ac:dyDescent="0.2">
      <c r="A94" s="28"/>
      <c r="B94" s="28"/>
      <c r="C94" s="28"/>
      <c r="D94" s="28"/>
      <c r="E94" s="49"/>
      <c r="F94" s="50"/>
      <c r="G94" s="28"/>
      <c r="H94" s="49"/>
      <c r="I94" s="49"/>
      <c r="J94" s="50"/>
      <c r="K94" s="28"/>
      <c r="L94" s="28"/>
      <c r="M94" s="36"/>
    </row>
    <row r="95" spans="1:13" ht="15.75" customHeight="1" x14ac:dyDescent="0.2">
      <c r="A95" s="15" t="s">
        <v>94</v>
      </c>
      <c r="B95" s="17" t="s">
        <v>96</v>
      </c>
      <c r="C95" s="17"/>
      <c r="D95" s="17"/>
      <c r="E95" s="47"/>
      <c r="F95" s="48"/>
      <c r="G95" s="17"/>
      <c r="H95" s="47"/>
      <c r="I95" s="47"/>
      <c r="J95" s="48"/>
      <c r="K95" s="17"/>
      <c r="L95" s="17"/>
      <c r="M95" s="25"/>
    </row>
    <row r="96" spans="1:13" ht="15.75" customHeight="1" x14ac:dyDescent="0.2">
      <c r="A96" s="17"/>
      <c r="B96" s="17"/>
      <c r="C96" s="17"/>
      <c r="D96" s="17"/>
      <c r="E96" s="47"/>
      <c r="F96" s="48"/>
      <c r="G96" s="17"/>
      <c r="H96" s="47"/>
      <c r="I96" s="47"/>
      <c r="J96" s="48"/>
      <c r="K96" s="17"/>
      <c r="L96" s="17"/>
      <c r="M96" s="25"/>
    </row>
    <row r="97" spans="1:13" ht="15.75" customHeight="1" x14ac:dyDescent="0.2">
      <c r="A97" s="17"/>
      <c r="B97" s="17"/>
      <c r="C97" s="17"/>
      <c r="D97" s="17"/>
      <c r="E97" s="47"/>
      <c r="F97" s="48"/>
      <c r="G97" s="17"/>
      <c r="H97" s="47"/>
      <c r="I97" s="47"/>
      <c r="J97" s="48"/>
      <c r="K97" s="17"/>
      <c r="L97" s="17"/>
      <c r="M97" s="25"/>
    </row>
    <row r="98" spans="1:13" ht="15.75" customHeight="1" x14ac:dyDescent="0.2">
      <c r="A98" s="26" t="s">
        <v>97</v>
      </c>
      <c r="B98" s="28" t="s">
        <v>99</v>
      </c>
      <c r="C98" s="28"/>
      <c r="D98" s="28"/>
      <c r="E98" s="49"/>
      <c r="F98" s="50"/>
      <c r="G98" s="28"/>
      <c r="H98" s="49"/>
      <c r="I98" s="49"/>
      <c r="J98" s="50"/>
      <c r="K98" s="28"/>
      <c r="L98" s="28"/>
      <c r="M98" s="36"/>
    </row>
    <row r="99" spans="1:13" ht="15.75" customHeight="1" x14ac:dyDescent="0.2">
      <c r="A99" s="28"/>
      <c r="B99" s="28"/>
      <c r="C99" s="28"/>
      <c r="D99" s="28"/>
      <c r="E99" s="49"/>
      <c r="F99" s="50"/>
      <c r="G99" s="28"/>
      <c r="H99" s="49"/>
      <c r="I99" s="49"/>
      <c r="J99" s="50"/>
      <c r="K99" s="28"/>
      <c r="L99" s="28"/>
      <c r="M99" s="36"/>
    </row>
    <row r="100" spans="1:13" ht="15.75" customHeight="1" x14ac:dyDescent="0.2">
      <c r="A100" s="28"/>
      <c r="B100" s="28"/>
      <c r="C100" s="28"/>
      <c r="D100" s="28"/>
      <c r="E100" s="49"/>
      <c r="F100" s="50"/>
      <c r="G100" s="28"/>
      <c r="H100" s="49"/>
      <c r="I100" s="49"/>
      <c r="J100" s="50"/>
      <c r="K100" s="28"/>
      <c r="L100" s="28"/>
      <c r="M100" s="36"/>
    </row>
    <row r="101" spans="1:13" ht="15.75" customHeight="1" x14ac:dyDescent="0.2">
      <c r="A101" s="15" t="s">
        <v>100</v>
      </c>
      <c r="B101" s="17" t="s">
        <v>102</v>
      </c>
      <c r="C101" s="17"/>
      <c r="D101" s="17"/>
      <c r="E101" s="47"/>
      <c r="F101" s="48"/>
      <c r="G101" s="17"/>
      <c r="H101" s="47"/>
      <c r="I101" s="47"/>
      <c r="J101" s="48"/>
      <c r="K101" s="17"/>
      <c r="L101" s="17"/>
      <c r="M101" s="25"/>
    </row>
    <row r="102" spans="1:13" ht="15.75" customHeight="1" x14ac:dyDescent="0.2">
      <c r="A102" s="17"/>
      <c r="B102" s="17"/>
      <c r="C102" s="17"/>
      <c r="D102" s="17"/>
      <c r="E102" s="47"/>
      <c r="F102" s="48"/>
      <c r="G102" s="17"/>
      <c r="H102" s="47"/>
      <c r="I102" s="47"/>
      <c r="J102" s="48"/>
      <c r="K102" s="17"/>
      <c r="L102" s="17"/>
      <c r="M102" s="25"/>
    </row>
    <row r="103" spans="1:13" ht="15.75" customHeight="1" x14ac:dyDescent="0.2">
      <c r="A103" s="17"/>
      <c r="B103" s="17"/>
      <c r="C103" s="17"/>
      <c r="D103" s="17"/>
      <c r="E103" s="47"/>
      <c r="F103" s="48"/>
      <c r="G103" s="17"/>
      <c r="H103" s="47"/>
      <c r="I103" s="47"/>
      <c r="J103" s="48"/>
      <c r="K103" s="17"/>
      <c r="L103" s="17"/>
      <c r="M103" s="25"/>
    </row>
    <row r="104" spans="1:13" ht="15.75" customHeight="1" x14ac:dyDescent="0.2">
      <c r="A104" s="26" t="s">
        <v>103</v>
      </c>
      <c r="B104" s="28" t="s">
        <v>105</v>
      </c>
      <c r="C104" s="28"/>
      <c r="D104" s="28"/>
      <c r="E104" s="49"/>
      <c r="F104" s="50"/>
      <c r="G104" s="28"/>
      <c r="H104" s="49"/>
      <c r="I104" s="49"/>
      <c r="J104" s="50"/>
      <c r="K104" s="28"/>
      <c r="L104" s="28"/>
      <c r="M104" s="36"/>
    </row>
    <row r="105" spans="1:13" ht="15.75" customHeight="1" x14ac:dyDescent="0.2">
      <c r="A105" s="28"/>
      <c r="B105" s="28"/>
      <c r="C105" s="28"/>
      <c r="D105" s="28"/>
      <c r="E105" s="49"/>
      <c r="F105" s="50"/>
      <c r="G105" s="28"/>
      <c r="H105" s="49"/>
      <c r="I105" s="49"/>
      <c r="J105" s="50"/>
      <c r="K105" s="28"/>
      <c r="L105" s="28"/>
      <c r="M105" s="36"/>
    </row>
    <row r="106" spans="1:13" ht="15.75" customHeight="1" x14ac:dyDescent="0.2">
      <c r="A106" s="28"/>
      <c r="B106" s="28"/>
      <c r="C106" s="28"/>
      <c r="D106" s="28"/>
      <c r="E106" s="49"/>
      <c r="F106" s="50"/>
      <c r="G106" s="28"/>
      <c r="H106" s="49"/>
      <c r="I106" s="49"/>
      <c r="J106" s="50"/>
      <c r="K106" s="28"/>
      <c r="L106" s="28"/>
      <c r="M106" s="36"/>
    </row>
    <row r="107" spans="1:13" ht="15.75" customHeight="1" x14ac:dyDescent="0.2">
      <c r="A107" s="15" t="s">
        <v>106</v>
      </c>
      <c r="B107" s="17" t="s">
        <v>108</v>
      </c>
      <c r="C107" s="17"/>
      <c r="D107" s="17"/>
      <c r="E107" s="47"/>
      <c r="F107" s="48"/>
      <c r="G107" s="17"/>
      <c r="H107" s="47"/>
      <c r="I107" s="47"/>
      <c r="J107" s="48"/>
      <c r="K107" s="17"/>
      <c r="L107" s="17"/>
      <c r="M107" s="25"/>
    </row>
    <row r="108" spans="1:13" ht="15.75" customHeight="1" x14ac:dyDescent="0.2">
      <c r="A108" s="17"/>
      <c r="B108" s="17"/>
      <c r="C108" s="17"/>
      <c r="D108" s="17"/>
      <c r="E108" s="47"/>
      <c r="F108" s="48"/>
      <c r="G108" s="17"/>
      <c r="H108" s="47"/>
      <c r="I108" s="47"/>
      <c r="J108" s="48"/>
      <c r="K108" s="17"/>
      <c r="L108" s="17"/>
      <c r="M108" s="25"/>
    </row>
    <row r="109" spans="1:13" ht="15.75" customHeight="1" x14ac:dyDescent="0.2">
      <c r="A109" s="17"/>
      <c r="B109" s="17"/>
      <c r="C109" s="17"/>
      <c r="D109" s="17"/>
      <c r="E109" s="47"/>
      <c r="F109" s="48"/>
      <c r="G109" s="17"/>
      <c r="H109" s="47"/>
      <c r="I109" s="47"/>
      <c r="J109" s="48"/>
      <c r="K109" s="17"/>
      <c r="L109" s="17"/>
      <c r="M109" s="25"/>
    </row>
    <row r="110" spans="1:13" ht="15.75" customHeight="1" x14ac:dyDescent="0.2">
      <c r="A110" s="26" t="s">
        <v>109</v>
      </c>
      <c r="B110" s="28" t="s">
        <v>111</v>
      </c>
      <c r="C110" s="28"/>
      <c r="D110" s="28"/>
      <c r="E110" s="49"/>
      <c r="F110" s="50"/>
      <c r="G110" s="28"/>
      <c r="H110" s="49"/>
      <c r="I110" s="49"/>
      <c r="J110" s="50"/>
      <c r="K110" s="28"/>
      <c r="L110" s="28"/>
      <c r="M110" s="36"/>
    </row>
    <row r="111" spans="1:13" ht="15.75" customHeight="1" x14ac:dyDescent="0.2">
      <c r="A111" s="28"/>
      <c r="B111" s="28"/>
      <c r="C111" s="28"/>
      <c r="D111" s="28"/>
      <c r="E111" s="49"/>
      <c r="F111" s="50"/>
      <c r="G111" s="28"/>
      <c r="H111" s="49"/>
      <c r="I111" s="49"/>
      <c r="J111" s="50"/>
      <c r="K111" s="28"/>
      <c r="L111" s="28"/>
      <c r="M111" s="36"/>
    </row>
    <row r="112" spans="1:13" ht="15.75" customHeight="1" x14ac:dyDescent="0.2">
      <c r="A112" s="28"/>
      <c r="B112" s="28"/>
      <c r="C112" s="28"/>
      <c r="D112" s="28"/>
      <c r="E112" s="49"/>
      <c r="F112" s="50"/>
      <c r="G112" s="28"/>
      <c r="H112" s="49"/>
      <c r="I112" s="49"/>
      <c r="J112" s="50"/>
      <c r="K112" s="28"/>
      <c r="L112" s="28"/>
      <c r="M112" s="36"/>
    </row>
    <row r="113" spans="1:13" ht="15.75" customHeight="1" x14ac:dyDescent="0.2">
      <c r="A113" s="15" t="s">
        <v>112</v>
      </c>
      <c r="B113" s="17" t="s">
        <v>111</v>
      </c>
      <c r="C113" s="17"/>
      <c r="D113" s="17"/>
      <c r="E113" s="47"/>
      <c r="F113" s="48"/>
      <c r="G113" s="17"/>
      <c r="H113" s="47"/>
      <c r="I113" s="47"/>
      <c r="J113" s="48"/>
      <c r="K113" s="17"/>
      <c r="L113" s="17"/>
      <c r="M113" s="25"/>
    </row>
    <row r="114" spans="1:13" ht="15.75" customHeight="1" x14ac:dyDescent="0.2">
      <c r="A114" s="17"/>
      <c r="B114" s="17"/>
      <c r="C114" s="17"/>
      <c r="D114" s="17"/>
      <c r="E114" s="47"/>
      <c r="F114" s="48"/>
      <c r="G114" s="17"/>
      <c r="H114" s="47"/>
      <c r="I114" s="47"/>
      <c r="J114" s="48"/>
      <c r="K114" s="17"/>
      <c r="L114" s="17"/>
      <c r="M114" s="25"/>
    </row>
    <row r="115" spans="1:13" ht="15.75" customHeight="1" x14ac:dyDescent="0.2">
      <c r="A115" s="17"/>
      <c r="B115" s="17"/>
      <c r="C115" s="17"/>
      <c r="D115" s="17"/>
      <c r="E115" s="47"/>
      <c r="F115" s="48"/>
      <c r="G115" s="17"/>
      <c r="H115" s="47"/>
      <c r="I115" s="47"/>
      <c r="J115" s="48"/>
      <c r="K115" s="17"/>
      <c r="L115" s="17"/>
      <c r="M115" s="25"/>
    </row>
    <row r="116" spans="1:13" ht="15.75" customHeight="1" x14ac:dyDescent="0.2">
      <c r="A116" s="26" t="s">
        <v>114</v>
      </c>
      <c r="B116" s="28" t="s">
        <v>111</v>
      </c>
      <c r="C116" s="28"/>
      <c r="D116" s="28"/>
      <c r="E116" s="49"/>
      <c r="F116" s="50"/>
      <c r="G116" s="28"/>
      <c r="H116" s="49"/>
      <c r="I116" s="49"/>
      <c r="J116" s="50"/>
      <c r="K116" s="28"/>
      <c r="L116" s="28"/>
      <c r="M116" s="36"/>
    </row>
    <row r="117" spans="1:13" ht="15.75" customHeight="1" x14ac:dyDescent="0.2">
      <c r="A117" s="28"/>
      <c r="B117" s="28"/>
      <c r="C117" s="28"/>
      <c r="D117" s="28"/>
      <c r="E117" s="49"/>
      <c r="F117" s="50"/>
      <c r="G117" s="28"/>
      <c r="H117" s="49"/>
      <c r="I117" s="49"/>
      <c r="J117" s="50"/>
      <c r="K117" s="28"/>
      <c r="L117" s="28"/>
      <c r="M117" s="36"/>
    </row>
    <row r="118" spans="1:13" ht="15.75" customHeight="1" x14ac:dyDescent="0.2">
      <c r="A118" s="28"/>
      <c r="B118" s="28"/>
      <c r="C118" s="28"/>
      <c r="D118" s="28"/>
      <c r="E118" s="49"/>
      <c r="F118" s="50"/>
      <c r="G118" s="28"/>
      <c r="H118" s="49"/>
      <c r="I118" s="49"/>
      <c r="J118" s="50"/>
      <c r="K118" s="28"/>
      <c r="L118" s="28"/>
      <c r="M118" s="36"/>
    </row>
    <row r="119" spans="1:13" ht="15.75" customHeight="1" x14ac:dyDescent="0.2">
      <c r="A119" s="15" t="s">
        <v>116</v>
      </c>
      <c r="B119" s="17" t="s">
        <v>118</v>
      </c>
      <c r="C119" s="17"/>
      <c r="D119" s="17"/>
      <c r="E119" s="47"/>
      <c r="F119" s="48"/>
      <c r="G119" s="17"/>
      <c r="H119" s="47"/>
      <c r="I119" s="47"/>
      <c r="J119" s="48"/>
      <c r="K119" s="17"/>
      <c r="L119" s="17"/>
      <c r="M119" s="25"/>
    </row>
    <row r="120" spans="1:13" ht="15.75" customHeight="1" x14ac:dyDescent="0.2">
      <c r="A120" s="17"/>
      <c r="B120" s="17"/>
      <c r="C120" s="17"/>
      <c r="D120" s="17"/>
      <c r="E120" s="47"/>
      <c r="F120" s="48"/>
      <c r="G120" s="17"/>
      <c r="H120" s="47"/>
      <c r="I120" s="47"/>
      <c r="J120" s="48"/>
      <c r="K120" s="17"/>
      <c r="L120" s="17"/>
      <c r="M120" s="25"/>
    </row>
    <row r="121" spans="1:13" ht="15.75" customHeight="1" x14ac:dyDescent="0.2">
      <c r="A121" s="17"/>
      <c r="B121" s="17"/>
      <c r="C121" s="17"/>
      <c r="D121" s="17"/>
      <c r="E121" s="47"/>
      <c r="F121" s="48"/>
      <c r="G121" s="17"/>
      <c r="H121" s="47"/>
      <c r="I121" s="47"/>
      <c r="J121" s="48"/>
      <c r="K121" s="17"/>
      <c r="L121" s="17"/>
      <c r="M121" s="25"/>
    </row>
    <row r="122" spans="1:13" ht="15.75" customHeight="1" x14ac:dyDescent="0.2">
      <c r="A122" s="26" t="s">
        <v>119</v>
      </c>
      <c r="B122" s="28" t="s">
        <v>111</v>
      </c>
      <c r="C122" s="28"/>
      <c r="D122" s="28"/>
      <c r="E122" s="49"/>
      <c r="F122" s="50"/>
      <c r="G122" s="28"/>
      <c r="H122" s="49"/>
      <c r="I122" s="49"/>
      <c r="J122" s="50"/>
      <c r="K122" s="28"/>
      <c r="L122" s="28"/>
      <c r="M122" s="36"/>
    </row>
    <row r="123" spans="1:13" ht="15.75" customHeight="1" x14ac:dyDescent="0.2">
      <c r="A123" s="28"/>
      <c r="B123" s="28"/>
      <c r="C123" s="28"/>
      <c r="D123" s="28"/>
      <c r="E123" s="49"/>
      <c r="F123" s="50"/>
      <c r="G123" s="28"/>
      <c r="H123" s="49"/>
      <c r="I123" s="49"/>
      <c r="J123" s="50"/>
      <c r="K123" s="28"/>
      <c r="L123" s="28"/>
      <c r="M123" s="36"/>
    </row>
    <row r="124" spans="1:13" ht="15.75" customHeight="1" x14ac:dyDescent="0.2">
      <c r="A124" s="28"/>
      <c r="B124" s="28"/>
      <c r="C124" s="28"/>
      <c r="D124" s="28"/>
      <c r="E124" s="49"/>
      <c r="F124" s="50"/>
      <c r="G124" s="28"/>
      <c r="H124" s="49"/>
      <c r="I124" s="49"/>
      <c r="J124" s="50"/>
      <c r="K124" s="28"/>
      <c r="L124" s="28"/>
      <c r="M124" s="36"/>
    </row>
    <row r="125" spans="1:13" ht="15.75" customHeight="1" x14ac:dyDescent="0.2">
      <c r="A125" s="15" t="s">
        <v>121</v>
      </c>
      <c r="B125" s="17" t="s">
        <v>111</v>
      </c>
      <c r="C125" s="17"/>
      <c r="D125" s="17"/>
      <c r="E125" s="47"/>
      <c r="F125" s="48"/>
      <c r="G125" s="17"/>
      <c r="H125" s="47"/>
      <c r="I125" s="47"/>
      <c r="J125" s="48"/>
      <c r="K125" s="17"/>
      <c r="L125" s="17"/>
      <c r="M125" s="25"/>
    </row>
    <row r="126" spans="1:13" ht="15.75" customHeight="1" x14ac:dyDescent="0.2">
      <c r="A126" s="17"/>
      <c r="B126" s="17"/>
      <c r="C126" s="17"/>
      <c r="D126" s="17"/>
      <c r="E126" s="47"/>
      <c r="F126" s="48"/>
      <c r="G126" s="17"/>
      <c r="H126" s="47"/>
      <c r="I126" s="47"/>
      <c r="J126" s="48"/>
      <c r="K126" s="17"/>
      <c r="L126" s="17"/>
      <c r="M126" s="25"/>
    </row>
    <row r="127" spans="1:13" ht="15.75" customHeight="1" x14ac:dyDescent="0.2">
      <c r="A127" s="17"/>
      <c r="B127" s="17"/>
      <c r="C127" s="17"/>
      <c r="D127" s="17"/>
      <c r="E127" s="47"/>
      <c r="F127" s="48"/>
      <c r="G127" s="17"/>
      <c r="H127" s="47"/>
      <c r="I127" s="47"/>
      <c r="J127" s="48"/>
      <c r="K127" s="17"/>
      <c r="L127" s="17"/>
      <c r="M127" s="25"/>
    </row>
    <row r="128" spans="1:13" ht="15.75" customHeight="1" x14ac:dyDescent="0.2">
      <c r="A128" s="26" t="s">
        <v>123</v>
      </c>
      <c r="B128" s="28" t="s">
        <v>111</v>
      </c>
      <c r="C128" s="28"/>
      <c r="D128" s="28"/>
      <c r="E128" s="49"/>
      <c r="F128" s="50"/>
      <c r="G128" s="28"/>
      <c r="H128" s="49"/>
      <c r="I128" s="49"/>
      <c r="J128" s="50"/>
      <c r="K128" s="28"/>
      <c r="L128" s="28"/>
      <c r="M128" s="36"/>
    </row>
    <row r="129" spans="1:13" ht="15.75" customHeight="1" x14ac:dyDescent="0.2">
      <c r="A129" s="28"/>
      <c r="B129" s="28"/>
      <c r="C129" s="28"/>
      <c r="D129" s="28"/>
      <c r="E129" s="49"/>
      <c r="F129" s="50"/>
      <c r="G129" s="28"/>
      <c r="H129" s="49"/>
      <c r="I129" s="49"/>
      <c r="J129" s="50"/>
      <c r="K129" s="28"/>
      <c r="L129" s="28"/>
      <c r="M129" s="36"/>
    </row>
    <row r="130" spans="1:13" ht="15.75" customHeight="1" x14ac:dyDescent="0.2">
      <c r="A130" s="28"/>
      <c r="B130" s="28"/>
      <c r="C130" s="28"/>
      <c r="D130" s="28"/>
      <c r="E130" s="49"/>
      <c r="F130" s="50"/>
      <c r="G130" s="28"/>
      <c r="H130" s="49"/>
      <c r="I130" s="49"/>
      <c r="J130" s="50"/>
      <c r="K130" s="28"/>
      <c r="L130" s="28"/>
      <c r="M130" s="36"/>
    </row>
    <row r="131" spans="1:13" ht="15.75" customHeight="1" x14ac:dyDescent="0.2">
      <c r="A131" s="15" t="s">
        <v>125</v>
      </c>
      <c r="B131" s="17" t="s">
        <v>111</v>
      </c>
      <c r="C131" s="17"/>
      <c r="D131" s="17"/>
      <c r="E131" s="47"/>
      <c r="F131" s="48"/>
      <c r="G131" s="17"/>
      <c r="H131" s="47"/>
      <c r="I131" s="47"/>
      <c r="J131" s="48"/>
      <c r="K131" s="17"/>
      <c r="L131" s="17"/>
      <c r="M131" s="25"/>
    </row>
    <row r="132" spans="1:13" ht="15.75" customHeight="1" x14ac:dyDescent="0.2">
      <c r="A132" s="17"/>
      <c r="B132" s="17"/>
      <c r="C132" s="17"/>
      <c r="D132" s="17"/>
      <c r="E132" s="47"/>
      <c r="F132" s="48"/>
      <c r="G132" s="17"/>
      <c r="H132" s="47"/>
      <c r="I132" s="47"/>
      <c r="J132" s="48"/>
      <c r="K132" s="17"/>
      <c r="L132" s="17"/>
      <c r="M132" s="25"/>
    </row>
    <row r="133" spans="1:13" ht="15.75" customHeight="1" x14ac:dyDescent="0.2">
      <c r="A133" s="17"/>
      <c r="B133" s="17"/>
      <c r="C133" s="17"/>
      <c r="D133" s="17"/>
      <c r="E133" s="47"/>
      <c r="F133" s="48"/>
      <c r="G133" s="17"/>
      <c r="H133" s="47"/>
      <c r="I133" s="47"/>
      <c r="J133" s="48"/>
      <c r="K133" s="17"/>
      <c r="L133" s="17"/>
      <c r="M133" s="25"/>
    </row>
    <row r="134" spans="1:13" ht="15.75" customHeight="1" x14ac:dyDescent="0.2">
      <c r="A134" s="26" t="s">
        <v>127</v>
      </c>
      <c r="B134" s="28" t="s">
        <v>111</v>
      </c>
      <c r="C134" s="28"/>
      <c r="D134" s="28"/>
      <c r="E134" s="49"/>
      <c r="F134" s="50"/>
      <c r="G134" s="28"/>
      <c r="H134" s="49"/>
      <c r="I134" s="49"/>
      <c r="J134" s="50"/>
      <c r="K134" s="28"/>
      <c r="L134" s="28"/>
      <c r="M134" s="36"/>
    </row>
    <row r="135" spans="1:13" ht="15.75" customHeight="1" x14ac:dyDescent="0.2">
      <c r="A135" s="28"/>
      <c r="B135" s="28"/>
      <c r="C135" s="28"/>
      <c r="D135" s="28"/>
      <c r="E135" s="49"/>
      <c r="F135" s="50"/>
      <c r="G135" s="28"/>
      <c r="H135" s="49"/>
      <c r="I135" s="49"/>
      <c r="J135" s="50"/>
      <c r="K135" s="28"/>
      <c r="L135" s="28"/>
      <c r="M135" s="36"/>
    </row>
    <row r="136" spans="1:13" ht="15.75" customHeight="1" x14ac:dyDescent="0.2">
      <c r="A136" s="28"/>
      <c r="B136" s="28"/>
      <c r="C136" s="28"/>
      <c r="D136" s="28"/>
      <c r="E136" s="49"/>
      <c r="F136" s="50"/>
      <c r="G136" s="28"/>
      <c r="H136" s="49"/>
      <c r="I136" s="49"/>
      <c r="J136" s="50"/>
      <c r="K136" s="28"/>
      <c r="L136" s="28"/>
      <c r="M136" s="36"/>
    </row>
    <row r="137" spans="1:13" ht="15.75" customHeight="1" x14ac:dyDescent="0.2">
      <c r="A137" s="15" t="s">
        <v>128</v>
      </c>
      <c r="B137" s="17" t="s">
        <v>111</v>
      </c>
      <c r="C137" s="17"/>
      <c r="D137" s="17"/>
      <c r="E137" s="47"/>
      <c r="F137" s="48"/>
      <c r="G137" s="17"/>
      <c r="H137" s="47"/>
      <c r="I137" s="47"/>
      <c r="J137" s="48"/>
      <c r="K137" s="17"/>
      <c r="L137" s="17"/>
      <c r="M137" s="25"/>
    </row>
    <row r="138" spans="1:13" ht="15.75" customHeight="1" x14ac:dyDescent="0.2">
      <c r="A138" s="17"/>
      <c r="B138" s="17"/>
      <c r="C138" s="17"/>
      <c r="D138" s="17"/>
      <c r="E138" s="47"/>
      <c r="F138" s="48"/>
      <c r="G138" s="17"/>
      <c r="H138" s="47"/>
      <c r="I138" s="47"/>
      <c r="J138" s="48"/>
      <c r="K138" s="17"/>
      <c r="L138" s="17"/>
      <c r="M138" s="25"/>
    </row>
    <row r="139" spans="1:13" ht="15.75" customHeight="1" x14ac:dyDescent="0.2">
      <c r="A139" s="17"/>
      <c r="B139" s="17"/>
      <c r="C139" s="17"/>
      <c r="D139" s="17"/>
      <c r="E139" s="47"/>
      <c r="F139" s="48"/>
      <c r="G139" s="17"/>
      <c r="H139" s="47"/>
      <c r="I139" s="47"/>
      <c r="J139" s="48"/>
      <c r="K139" s="17"/>
      <c r="L139" s="17"/>
      <c r="M139" s="25"/>
    </row>
    <row r="140" spans="1:13" ht="15.75" customHeight="1" x14ac:dyDescent="0.2">
      <c r="A140" s="26" t="s">
        <v>129</v>
      </c>
      <c r="B140" s="28" t="s">
        <v>131</v>
      </c>
      <c r="C140" s="28"/>
      <c r="D140" s="28"/>
      <c r="E140" s="49"/>
      <c r="F140" s="50"/>
      <c r="G140" s="28"/>
      <c r="H140" s="49"/>
      <c r="I140" s="49"/>
      <c r="J140" s="50"/>
      <c r="K140" s="28"/>
      <c r="L140" s="28"/>
      <c r="M140" s="36"/>
    </row>
    <row r="141" spans="1:13" ht="15.75" customHeight="1" x14ac:dyDescent="0.2">
      <c r="A141" s="28"/>
      <c r="B141" s="28"/>
      <c r="C141" s="28"/>
      <c r="D141" s="28"/>
      <c r="E141" s="49"/>
      <c r="F141" s="50"/>
      <c r="G141" s="28"/>
      <c r="H141" s="49"/>
      <c r="I141" s="49"/>
      <c r="J141" s="50"/>
      <c r="K141" s="28"/>
      <c r="L141" s="28"/>
      <c r="M141" s="36"/>
    </row>
    <row r="142" spans="1:13" ht="15.75" customHeight="1" x14ac:dyDescent="0.2">
      <c r="A142" s="28"/>
      <c r="B142" s="28"/>
      <c r="C142" s="28"/>
      <c r="D142" s="28"/>
      <c r="E142" s="49"/>
      <c r="F142" s="50"/>
      <c r="G142" s="28"/>
      <c r="H142" s="49"/>
      <c r="I142" s="49"/>
      <c r="J142" s="50"/>
      <c r="K142" s="28"/>
      <c r="L142" s="28"/>
      <c r="M142" s="36"/>
    </row>
  </sheetData>
  <mergeCells count="5">
    <mergeCell ref="A1:M1"/>
    <mergeCell ref="A2:B2"/>
    <mergeCell ref="C2:D2"/>
    <mergeCell ref="E2:L2"/>
    <mergeCell ref="A4:M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P51"/>
  <sheetViews>
    <sheetView showGridLines="0" zoomScaleNormal="100" workbookViewId="0">
      <selection sqref="A1:P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14" width="11" customWidth="1"/>
    <col min="15" max="15" width="13" customWidth="1"/>
  </cols>
  <sheetData>
    <row r="1" spans="1:16" ht="15" customHeight="1" x14ac:dyDescent="0.2">
      <c r="A1" s="13" t="s">
        <v>187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9.5" customHeight="1" x14ac:dyDescent="0.2">
      <c r="A2" s="51" t="s">
        <v>4</v>
      </c>
      <c r="B2" s="51" t="s">
        <v>6</v>
      </c>
      <c r="C2" s="51" t="s">
        <v>188</v>
      </c>
      <c r="D2" s="51" t="s">
        <v>189</v>
      </c>
      <c r="E2" s="51" t="s">
        <v>190</v>
      </c>
      <c r="F2" s="51" t="s">
        <v>191</v>
      </c>
      <c r="G2" s="51" t="s">
        <v>192</v>
      </c>
      <c r="H2" s="51" t="s">
        <v>193</v>
      </c>
      <c r="I2" s="51" t="s">
        <v>194</v>
      </c>
      <c r="J2" s="51" t="s">
        <v>195</v>
      </c>
      <c r="K2" s="51" t="s">
        <v>196</v>
      </c>
      <c r="L2" s="51" t="s">
        <v>197</v>
      </c>
      <c r="M2" s="51" t="s">
        <v>198</v>
      </c>
      <c r="N2" s="51" t="s">
        <v>199</v>
      </c>
      <c r="O2" s="51" t="s">
        <v>200</v>
      </c>
    </row>
    <row r="3" spans="1:16" ht="15.75" customHeight="1" x14ac:dyDescent="0.2">
      <c r="A3" s="15" t="s">
        <v>23</v>
      </c>
      <c r="B3" s="17" t="s">
        <v>25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52">
        <f t="shared" ref="O3:O48" si="0">SUM(C3:N3)</f>
        <v>0</v>
      </c>
    </row>
    <row r="4" spans="1:16" ht="15.75" customHeight="1" x14ac:dyDescent="0.2">
      <c r="A4" s="26" t="s">
        <v>26</v>
      </c>
      <c r="B4" s="28" t="s">
        <v>25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53">
        <f t="shared" si="0"/>
        <v>0</v>
      </c>
    </row>
    <row r="5" spans="1:16" ht="15.75" customHeight="1" x14ac:dyDescent="0.2">
      <c r="A5" s="15" t="s">
        <v>28</v>
      </c>
      <c r="B5" s="17" t="s">
        <v>25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52">
        <f t="shared" si="0"/>
        <v>0</v>
      </c>
    </row>
    <row r="6" spans="1:16" ht="15.75" customHeight="1" x14ac:dyDescent="0.2">
      <c r="A6" s="26" t="s">
        <v>30</v>
      </c>
      <c r="B6" s="28" t="s">
        <v>32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53">
        <f t="shared" si="0"/>
        <v>0</v>
      </c>
    </row>
    <row r="7" spans="1:16" ht="15.75" customHeight="1" x14ac:dyDescent="0.2">
      <c r="A7" s="15" t="s">
        <v>33</v>
      </c>
      <c r="B7" s="17" t="s">
        <v>32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52">
        <f t="shared" si="0"/>
        <v>0</v>
      </c>
    </row>
    <row r="8" spans="1:16" ht="15.75" customHeight="1" x14ac:dyDescent="0.2">
      <c r="A8" s="26" t="s">
        <v>35</v>
      </c>
      <c r="B8" s="28" t="s">
        <v>32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53">
        <f t="shared" si="0"/>
        <v>0</v>
      </c>
    </row>
    <row r="9" spans="1:16" ht="15.75" customHeight="1" x14ac:dyDescent="0.2">
      <c r="A9" s="15" t="s">
        <v>37</v>
      </c>
      <c r="B9" s="17" t="s">
        <v>32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52">
        <f t="shared" si="0"/>
        <v>0</v>
      </c>
    </row>
    <row r="10" spans="1:16" ht="15.75" customHeight="1" x14ac:dyDescent="0.2">
      <c r="A10" s="26" t="s">
        <v>39</v>
      </c>
      <c r="B10" s="28" t="s">
        <v>32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53">
        <f t="shared" si="0"/>
        <v>0</v>
      </c>
    </row>
    <row r="11" spans="1:16" ht="15.75" customHeight="1" x14ac:dyDescent="0.2">
      <c r="A11" s="15" t="s">
        <v>40</v>
      </c>
      <c r="B11" s="17" t="s">
        <v>32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52">
        <f t="shared" si="0"/>
        <v>0</v>
      </c>
    </row>
    <row r="12" spans="1:16" ht="15.75" customHeight="1" x14ac:dyDescent="0.2">
      <c r="A12" s="26" t="s">
        <v>41</v>
      </c>
      <c r="B12" s="28" t="s">
        <v>32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53">
        <f t="shared" si="0"/>
        <v>0</v>
      </c>
    </row>
    <row r="13" spans="1:16" ht="15.75" customHeight="1" x14ac:dyDescent="0.2">
      <c r="A13" s="15" t="s">
        <v>42</v>
      </c>
      <c r="B13" s="17" t="s">
        <v>32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52">
        <f t="shared" si="0"/>
        <v>0</v>
      </c>
    </row>
    <row r="14" spans="1:16" ht="15.75" customHeight="1" x14ac:dyDescent="0.2">
      <c r="A14" s="26" t="s">
        <v>44</v>
      </c>
      <c r="B14" s="28" t="s">
        <v>46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53">
        <f t="shared" si="0"/>
        <v>0</v>
      </c>
    </row>
    <row r="15" spans="1:16" ht="15.75" customHeight="1" x14ac:dyDescent="0.2">
      <c r="A15" s="15" t="s">
        <v>47</v>
      </c>
      <c r="B15" s="17" t="s">
        <v>49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52">
        <f t="shared" si="0"/>
        <v>0</v>
      </c>
    </row>
    <row r="16" spans="1:16" ht="15.75" customHeight="1" x14ac:dyDescent="0.2">
      <c r="A16" s="26" t="s">
        <v>50</v>
      </c>
      <c r="B16" s="28" t="s">
        <v>49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53">
        <f t="shared" si="0"/>
        <v>0</v>
      </c>
    </row>
    <row r="17" spans="1:15" ht="15.75" customHeight="1" x14ac:dyDescent="0.2">
      <c r="A17" s="15" t="s">
        <v>52</v>
      </c>
      <c r="B17" s="17" t="s">
        <v>54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52">
        <f t="shared" si="0"/>
        <v>0</v>
      </c>
    </row>
    <row r="18" spans="1:15" ht="15.75" customHeight="1" x14ac:dyDescent="0.2">
      <c r="A18" s="26" t="s">
        <v>55</v>
      </c>
      <c r="B18" s="28" t="s">
        <v>57</v>
      </c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53">
        <f t="shared" si="0"/>
        <v>0</v>
      </c>
    </row>
    <row r="19" spans="1:15" ht="15.75" customHeight="1" x14ac:dyDescent="0.2">
      <c r="A19" s="15" t="s">
        <v>58</v>
      </c>
      <c r="B19" s="17" t="s">
        <v>60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52">
        <f t="shared" si="0"/>
        <v>0</v>
      </c>
    </row>
    <row r="20" spans="1:15" ht="15.75" customHeight="1" x14ac:dyDescent="0.2">
      <c r="A20" s="26" t="s">
        <v>61</v>
      </c>
      <c r="B20" s="28" t="s">
        <v>63</v>
      </c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53">
        <f t="shared" si="0"/>
        <v>0</v>
      </c>
    </row>
    <row r="21" spans="1:15" ht="15.75" customHeight="1" x14ac:dyDescent="0.2">
      <c r="A21" s="15" t="s">
        <v>64</v>
      </c>
      <c r="B21" s="17" t="s">
        <v>63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52">
        <f t="shared" si="0"/>
        <v>0</v>
      </c>
    </row>
    <row r="22" spans="1:15" ht="15.75" customHeight="1" x14ac:dyDescent="0.2">
      <c r="A22" s="26" t="s">
        <v>66</v>
      </c>
      <c r="B22" s="28" t="s">
        <v>63</v>
      </c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53">
        <f t="shared" si="0"/>
        <v>0</v>
      </c>
    </row>
    <row r="23" spans="1:15" ht="15.75" customHeight="1" x14ac:dyDescent="0.2">
      <c r="A23" s="15" t="s">
        <v>68</v>
      </c>
      <c r="B23" s="17" t="s">
        <v>70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52">
        <f t="shared" si="0"/>
        <v>0</v>
      </c>
    </row>
    <row r="24" spans="1:15" ht="15.75" customHeight="1" x14ac:dyDescent="0.2">
      <c r="A24" s="26" t="s">
        <v>71</v>
      </c>
      <c r="B24" s="28" t="s">
        <v>73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53">
        <f t="shared" si="0"/>
        <v>0</v>
      </c>
    </row>
    <row r="25" spans="1:15" ht="15.75" customHeight="1" x14ac:dyDescent="0.2">
      <c r="A25" s="15" t="s">
        <v>74</v>
      </c>
      <c r="B25" s="17" t="s">
        <v>73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52">
        <f t="shared" si="0"/>
        <v>0</v>
      </c>
    </row>
    <row r="26" spans="1:15" ht="15.75" customHeight="1" x14ac:dyDescent="0.2">
      <c r="A26" s="26" t="s">
        <v>76</v>
      </c>
      <c r="B26" s="28" t="s">
        <v>78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53">
        <f t="shared" si="0"/>
        <v>0</v>
      </c>
    </row>
    <row r="27" spans="1:15" ht="15.75" customHeight="1" x14ac:dyDescent="0.2">
      <c r="A27" s="15" t="s">
        <v>79</v>
      </c>
      <c r="B27" s="17" t="s">
        <v>81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52">
        <f t="shared" si="0"/>
        <v>0</v>
      </c>
    </row>
    <row r="28" spans="1:15" ht="15.75" customHeight="1" x14ac:dyDescent="0.2">
      <c r="A28" s="26" t="s">
        <v>82</v>
      </c>
      <c r="B28" s="28" t="s">
        <v>84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53">
        <f t="shared" si="0"/>
        <v>0</v>
      </c>
    </row>
    <row r="29" spans="1:15" ht="15.75" customHeight="1" x14ac:dyDescent="0.2">
      <c r="A29" s="15" t="s">
        <v>85</v>
      </c>
      <c r="B29" s="17" t="s">
        <v>84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52">
        <f t="shared" si="0"/>
        <v>0</v>
      </c>
    </row>
    <row r="30" spans="1:15" ht="15.75" customHeight="1" x14ac:dyDescent="0.2">
      <c r="A30" s="26" t="s">
        <v>87</v>
      </c>
      <c r="B30" s="28" t="s">
        <v>89</v>
      </c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53">
        <f t="shared" si="0"/>
        <v>0</v>
      </c>
    </row>
    <row r="31" spans="1:15" ht="15.75" customHeight="1" x14ac:dyDescent="0.2">
      <c r="A31" s="15" t="s">
        <v>90</v>
      </c>
      <c r="B31" s="17" t="s">
        <v>89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52">
        <f t="shared" si="0"/>
        <v>0</v>
      </c>
    </row>
    <row r="32" spans="1:15" ht="15.75" customHeight="1" x14ac:dyDescent="0.2">
      <c r="A32" s="26" t="s">
        <v>92</v>
      </c>
      <c r="B32" s="28" t="s">
        <v>89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53">
        <f t="shared" si="0"/>
        <v>0</v>
      </c>
    </row>
    <row r="33" spans="1:15" ht="15.75" customHeight="1" x14ac:dyDescent="0.2">
      <c r="A33" s="15" t="s">
        <v>94</v>
      </c>
      <c r="B33" s="17" t="s">
        <v>96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52">
        <f t="shared" si="0"/>
        <v>0</v>
      </c>
    </row>
    <row r="34" spans="1:15" ht="15.75" customHeight="1" x14ac:dyDescent="0.2">
      <c r="A34" s="26" t="s">
        <v>97</v>
      </c>
      <c r="B34" s="28" t="s">
        <v>99</v>
      </c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53">
        <f t="shared" si="0"/>
        <v>0</v>
      </c>
    </row>
    <row r="35" spans="1:15" ht="15.75" customHeight="1" x14ac:dyDescent="0.2">
      <c r="A35" s="15" t="s">
        <v>100</v>
      </c>
      <c r="B35" s="17" t="s">
        <v>102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52">
        <f t="shared" si="0"/>
        <v>0</v>
      </c>
    </row>
    <row r="36" spans="1:15" ht="15.75" customHeight="1" x14ac:dyDescent="0.2">
      <c r="A36" s="26" t="s">
        <v>103</v>
      </c>
      <c r="B36" s="28" t="s">
        <v>105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53">
        <f t="shared" si="0"/>
        <v>0</v>
      </c>
    </row>
    <row r="37" spans="1:15" ht="15.75" customHeight="1" x14ac:dyDescent="0.2">
      <c r="A37" s="15" t="s">
        <v>106</v>
      </c>
      <c r="B37" s="17" t="s">
        <v>108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52">
        <f t="shared" si="0"/>
        <v>0</v>
      </c>
    </row>
    <row r="38" spans="1:15" ht="15.75" customHeight="1" x14ac:dyDescent="0.2">
      <c r="A38" s="26" t="s">
        <v>109</v>
      </c>
      <c r="B38" s="28" t="s">
        <v>111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53">
        <f t="shared" si="0"/>
        <v>0</v>
      </c>
    </row>
    <row r="39" spans="1:15" ht="15.75" customHeight="1" x14ac:dyDescent="0.2">
      <c r="A39" s="15" t="s">
        <v>112</v>
      </c>
      <c r="B39" s="17" t="s">
        <v>111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52">
        <f t="shared" si="0"/>
        <v>0</v>
      </c>
    </row>
    <row r="40" spans="1:15" ht="15.75" customHeight="1" x14ac:dyDescent="0.2">
      <c r="A40" s="26" t="s">
        <v>114</v>
      </c>
      <c r="B40" s="28" t="s">
        <v>111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53">
        <f t="shared" si="0"/>
        <v>0</v>
      </c>
    </row>
    <row r="41" spans="1:15" ht="15.75" customHeight="1" x14ac:dyDescent="0.2">
      <c r="A41" s="15" t="s">
        <v>116</v>
      </c>
      <c r="B41" s="17" t="s">
        <v>118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52">
        <f t="shared" si="0"/>
        <v>0</v>
      </c>
    </row>
    <row r="42" spans="1:15" ht="15.75" customHeight="1" x14ac:dyDescent="0.2">
      <c r="A42" s="26" t="s">
        <v>119</v>
      </c>
      <c r="B42" s="28" t="s">
        <v>111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53">
        <f t="shared" si="0"/>
        <v>0</v>
      </c>
    </row>
    <row r="43" spans="1:15" ht="15.75" customHeight="1" x14ac:dyDescent="0.2">
      <c r="A43" s="15" t="s">
        <v>121</v>
      </c>
      <c r="B43" s="17" t="s">
        <v>111</v>
      </c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52">
        <f t="shared" si="0"/>
        <v>0</v>
      </c>
    </row>
    <row r="44" spans="1:15" ht="15.75" customHeight="1" x14ac:dyDescent="0.2">
      <c r="A44" s="26" t="s">
        <v>123</v>
      </c>
      <c r="B44" s="28" t="s">
        <v>111</v>
      </c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53">
        <f t="shared" si="0"/>
        <v>0</v>
      </c>
    </row>
    <row r="45" spans="1:15" ht="15.75" customHeight="1" x14ac:dyDescent="0.2">
      <c r="A45" s="15" t="s">
        <v>125</v>
      </c>
      <c r="B45" s="17" t="s">
        <v>111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52">
        <f t="shared" si="0"/>
        <v>0</v>
      </c>
    </row>
    <row r="46" spans="1:15" ht="15.75" customHeight="1" x14ac:dyDescent="0.2">
      <c r="A46" s="26" t="s">
        <v>127</v>
      </c>
      <c r="B46" s="28" t="s">
        <v>111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53">
        <f t="shared" si="0"/>
        <v>0</v>
      </c>
    </row>
    <row r="47" spans="1:15" ht="15.75" customHeight="1" x14ac:dyDescent="0.2">
      <c r="A47" s="15" t="s">
        <v>128</v>
      </c>
      <c r="B47" s="17" t="s">
        <v>111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52">
        <f t="shared" si="0"/>
        <v>0</v>
      </c>
    </row>
    <row r="48" spans="1:15" ht="15.75" customHeight="1" x14ac:dyDescent="0.2">
      <c r="A48" s="26" t="s">
        <v>129</v>
      </c>
      <c r="B48" s="28" t="s">
        <v>131</v>
      </c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53">
        <f t="shared" si="0"/>
        <v>0</v>
      </c>
    </row>
    <row r="49" spans="1:16" ht="18" customHeight="1" x14ac:dyDescent="0.2">
      <c r="A49" s="10" t="s">
        <v>201</v>
      </c>
      <c r="B49" s="10"/>
      <c r="C49" s="37">
        <f t="shared" ref="C49:O49" si="1">SUM(C3:C48)</f>
        <v>0</v>
      </c>
      <c r="D49" s="37">
        <f t="shared" si="1"/>
        <v>0</v>
      </c>
      <c r="E49" s="37">
        <f t="shared" si="1"/>
        <v>0</v>
      </c>
      <c r="F49" s="37">
        <f t="shared" si="1"/>
        <v>0</v>
      </c>
      <c r="G49" s="37">
        <f t="shared" si="1"/>
        <v>0</v>
      </c>
      <c r="H49" s="37">
        <f t="shared" si="1"/>
        <v>0</v>
      </c>
      <c r="I49" s="37">
        <f t="shared" si="1"/>
        <v>0</v>
      </c>
      <c r="J49" s="37">
        <f t="shared" si="1"/>
        <v>0</v>
      </c>
      <c r="K49" s="37">
        <f t="shared" si="1"/>
        <v>0</v>
      </c>
      <c r="L49" s="37">
        <f t="shared" si="1"/>
        <v>0</v>
      </c>
      <c r="M49" s="37">
        <f t="shared" si="1"/>
        <v>0</v>
      </c>
      <c r="N49" s="37">
        <f t="shared" si="1"/>
        <v>0</v>
      </c>
      <c r="O49" s="37">
        <f t="shared" si="1"/>
        <v>0</v>
      </c>
    </row>
    <row r="51" spans="1:16" ht="15" customHeight="1" x14ac:dyDescent="0.2">
      <c r="A51" s="11" t="s">
        <v>202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</sheetData>
  <mergeCells count="3">
    <mergeCell ref="A1:P1"/>
    <mergeCell ref="A49:B49"/>
    <mergeCell ref="A51:P5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K48"/>
  <sheetViews>
    <sheetView showGridLines="0" zoomScaleNormal="100" workbookViewId="0">
      <selection sqref="A1:K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2" customWidth="1"/>
    <col min="4" max="4" width="14" customWidth="1"/>
    <col min="5" max="5" width="20" customWidth="1"/>
    <col min="6" max="6" width="14" customWidth="1"/>
    <col min="7" max="8" width="18" customWidth="1"/>
    <col min="9" max="9" width="24" customWidth="1"/>
    <col min="10" max="10" width="16" customWidth="1"/>
    <col min="11" max="11" width="28" customWidth="1"/>
  </cols>
  <sheetData>
    <row r="1" spans="1:11" ht="15" customHeight="1" x14ac:dyDescent="0.2">
      <c r="A1" s="13" t="s">
        <v>203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ht="36" customHeight="1" x14ac:dyDescent="0.2">
      <c r="A2" s="46" t="s">
        <v>4</v>
      </c>
      <c r="B2" s="46" t="s">
        <v>6</v>
      </c>
      <c r="C2" s="46" t="s">
        <v>204</v>
      </c>
      <c r="D2" s="46" t="s">
        <v>205</v>
      </c>
      <c r="E2" s="46" t="s">
        <v>206</v>
      </c>
      <c r="F2" s="46" t="s">
        <v>207</v>
      </c>
      <c r="G2" s="46" t="s">
        <v>208</v>
      </c>
      <c r="H2" s="46" t="s">
        <v>209</v>
      </c>
      <c r="I2" s="46" t="s">
        <v>210</v>
      </c>
      <c r="J2" s="46" t="s">
        <v>211</v>
      </c>
      <c r="K2" s="46" t="s">
        <v>212</v>
      </c>
    </row>
    <row r="3" spans="1:11" ht="16.5" customHeight="1" x14ac:dyDescent="0.2">
      <c r="A3" s="15" t="s">
        <v>23</v>
      </c>
      <c r="B3" s="17" t="s">
        <v>25</v>
      </c>
      <c r="C3" s="25"/>
      <c r="D3" s="17"/>
      <c r="E3" s="25"/>
      <c r="F3" s="48"/>
      <c r="G3" s="48"/>
      <c r="H3" s="48"/>
      <c r="I3" s="25"/>
      <c r="J3" s="17"/>
      <c r="K3" s="25"/>
    </row>
    <row r="4" spans="1:11" ht="16.5" customHeight="1" x14ac:dyDescent="0.2">
      <c r="A4" s="26" t="s">
        <v>26</v>
      </c>
      <c r="B4" s="28" t="s">
        <v>25</v>
      </c>
      <c r="C4" s="36"/>
      <c r="D4" s="28"/>
      <c r="E4" s="36"/>
      <c r="F4" s="50"/>
      <c r="G4" s="50"/>
      <c r="H4" s="50"/>
      <c r="I4" s="36"/>
      <c r="J4" s="28"/>
      <c r="K4" s="36"/>
    </row>
    <row r="5" spans="1:11" ht="16.5" customHeight="1" x14ac:dyDescent="0.2">
      <c r="A5" s="15" t="s">
        <v>28</v>
      </c>
      <c r="B5" s="17" t="s">
        <v>25</v>
      </c>
      <c r="C5" s="25"/>
      <c r="D5" s="17"/>
      <c r="E5" s="25"/>
      <c r="F5" s="48"/>
      <c r="G5" s="48"/>
      <c r="H5" s="48"/>
      <c r="I5" s="25"/>
      <c r="J5" s="17"/>
      <c r="K5" s="25"/>
    </row>
    <row r="6" spans="1:11" ht="16.5" customHeight="1" x14ac:dyDescent="0.2">
      <c r="A6" s="26" t="s">
        <v>30</v>
      </c>
      <c r="B6" s="28" t="s">
        <v>32</v>
      </c>
      <c r="C6" s="36"/>
      <c r="D6" s="28"/>
      <c r="E6" s="36"/>
      <c r="F6" s="50"/>
      <c r="G6" s="50"/>
      <c r="H6" s="50"/>
      <c r="I6" s="36"/>
      <c r="J6" s="28"/>
      <c r="K6" s="36"/>
    </row>
    <row r="7" spans="1:11" ht="16.5" customHeight="1" x14ac:dyDescent="0.2">
      <c r="A7" s="15" t="s">
        <v>33</v>
      </c>
      <c r="B7" s="17" t="s">
        <v>32</v>
      </c>
      <c r="C7" s="25"/>
      <c r="D7" s="17"/>
      <c r="E7" s="25"/>
      <c r="F7" s="48"/>
      <c r="G7" s="48"/>
      <c r="H7" s="48"/>
      <c r="I7" s="25"/>
      <c r="J7" s="17"/>
      <c r="K7" s="25"/>
    </row>
    <row r="8" spans="1:11" ht="16.5" customHeight="1" x14ac:dyDescent="0.2">
      <c r="A8" s="26" t="s">
        <v>35</v>
      </c>
      <c r="B8" s="28" t="s">
        <v>32</v>
      </c>
      <c r="C8" s="36"/>
      <c r="D8" s="28"/>
      <c r="E8" s="36"/>
      <c r="F8" s="50"/>
      <c r="G8" s="50"/>
      <c r="H8" s="50"/>
      <c r="I8" s="36"/>
      <c r="J8" s="28"/>
      <c r="K8" s="36"/>
    </row>
    <row r="9" spans="1:11" ht="16.5" customHeight="1" x14ac:dyDescent="0.2">
      <c r="A9" s="15" t="s">
        <v>37</v>
      </c>
      <c r="B9" s="17" t="s">
        <v>32</v>
      </c>
      <c r="C9" s="25"/>
      <c r="D9" s="17"/>
      <c r="E9" s="25"/>
      <c r="F9" s="48"/>
      <c r="G9" s="48"/>
      <c r="H9" s="48"/>
      <c r="I9" s="25"/>
      <c r="J9" s="17"/>
      <c r="K9" s="25"/>
    </row>
    <row r="10" spans="1:11" ht="16.5" customHeight="1" x14ac:dyDescent="0.2">
      <c r="A10" s="26" t="s">
        <v>39</v>
      </c>
      <c r="B10" s="28" t="s">
        <v>32</v>
      </c>
      <c r="C10" s="36"/>
      <c r="D10" s="28"/>
      <c r="E10" s="36"/>
      <c r="F10" s="50"/>
      <c r="G10" s="50"/>
      <c r="H10" s="50"/>
      <c r="I10" s="36"/>
      <c r="J10" s="28"/>
      <c r="K10" s="36"/>
    </row>
    <row r="11" spans="1:11" ht="16.5" customHeight="1" x14ac:dyDescent="0.2">
      <c r="A11" s="15" t="s">
        <v>40</v>
      </c>
      <c r="B11" s="17" t="s">
        <v>32</v>
      </c>
      <c r="C11" s="25"/>
      <c r="D11" s="17"/>
      <c r="E11" s="25"/>
      <c r="F11" s="48"/>
      <c r="G11" s="48"/>
      <c r="H11" s="48"/>
      <c r="I11" s="25"/>
      <c r="J11" s="17"/>
      <c r="K11" s="25"/>
    </row>
    <row r="12" spans="1:11" ht="16.5" customHeight="1" x14ac:dyDescent="0.2">
      <c r="A12" s="26" t="s">
        <v>41</v>
      </c>
      <c r="B12" s="28" t="s">
        <v>32</v>
      </c>
      <c r="C12" s="36"/>
      <c r="D12" s="28"/>
      <c r="E12" s="36"/>
      <c r="F12" s="50"/>
      <c r="G12" s="50"/>
      <c r="H12" s="50"/>
      <c r="I12" s="36"/>
      <c r="J12" s="28"/>
      <c r="K12" s="36"/>
    </row>
    <row r="13" spans="1:11" ht="16.5" customHeight="1" x14ac:dyDescent="0.2">
      <c r="A13" s="15" t="s">
        <v>42</v>
      </c>
      <c r="B13" s="17" t="s">
        <v>32</v>
      </c>
      <c r="C13" s="25"/>
      <c r="D13" s="17"/>
      <c r="E13" s="25"/>
      <c r="F13" s="48"/>
      <c r="G13" s="48"/>
      <c r="H13" s="48"/>
      <c r="I13" s="25"/>
      <c r="J13" s="17"/>
      <c r="K13" s="25"/>
    </row>
    <row r="14" spans="1:11" ht="16.5" customHeight="1" x14ac:dyDescent="0.2">
      <c r="A14" s="26" t="s">
        <v>44</v>
      </c>
      <c r="B14" s="28" t="s">
        <v>46</v>
      </c>
      <c r="C14" s="36"/>
      <c r="D14" s="28"/>
      <c r="E14" s="36"/>
      <c r="F14" s="50"/>
      <c r="G14" s="50"/>
      <c r="H14" s="50"/>
      <c r="I14" s="36"/>
      <c r="J14" s="28"/>
      <c r="K14" s="36"/>
    </row>
    <row r="15" spans="1:11" ht="16.5" customHeight="1" x14ac:dyDescent="0.2">
      <c r="A15" s="15" t="s">
        <v>47</v>
      </c>
      <c r="B15" s="17" t="s">
        <v>49</v>
      </c>
      <c r="C15" s="25"/>
      <c r="D15" s="17"/>
      <c r="E15" s="25"/>
      <c r="F15" s="48"/>
      <c r="G15" s="48"/>
      <c r="H15" s="48"/>
      <c r="I15" s="25"/>
      <c r="J15" s="17"/>
      <c r="K15" s="25"/>
    </row>
    <row r="16" spans="1:11" ht="16.5" customHeight="1" x14ac:dyDescent="0.2">
      <c r="A16" s="26" t="s">
        <v>50</v>
      </c>
      <c r="B16" s="28" t="s">
        <v>49</v>
      </c>
      <c r="C16" s="36"/>
      <c r="D16" s="28"/>
      <c r="E16" s="36"/>
      <c r="F16" s="50"/>
      <c r="G16" s="50"/>
      <c r="H16" s="50"/>
      <c r="I16" s="36"/>
      <c r="J16" s="28"/>
      <c r="K16" s="36"/>
    </row>
    <row r="17" spans="1:11" ht="16.5" customHeight="1" x14ac:dyDescent="0.2">
      <c r="A17" s="15" t="s">
        <v>52</v>
      </c>
      <c r="B17" s="17" t="s">
        <v>54</v>
      </c>
      <c r="C17" s="25"/>
      <c r="D17" s="17"/>
      <c r="E17" s="25"/>
      <c r="F17" s="48"/>
      <c r="G17" s="48"/>
      <c r="H17" s="48"/>
      <c r="I17" s="25"/>
      <c r="J17" s="17"/>
      <c r="K17" s="25"/>
    </row>
    <row r="18" spans="1:11" ht="16.5" customHeight="1" x14ac:dyDescent="0.2">
      <c r="A18" s="26" t="s">
        <v>55</v>
      </c>
      <c r="B18" s="28" t="s">
        <v>57</v>
      </c>
      <c r="C18" s="36"/>
      <c r="D18" s="28"/>
      <c r="E18" s="36"/>
      <c r="F18" s="50"/>
      <c r="G18" s="50"/>
      <c r="H18" s="50"/>
      <c r="I18" s="36"/>
      <c r="J18" s="28"/>
      <c r="K18" s="36"/>
    </row>
    <row r="19" spans="1:11" ht="16.5" customHeight="1" x14ac:dyDescent="0.2">
      <c r="A19" s="15" t="s">
        <v>58</v>
      </c>
      <c r="B19" s="17" t="s">
        <v>60</v>
      </c>
      <c r="C19" s="25"/>
      <c r="D19" s="17"/>
      <c r="E19" s="25"/>
      <c r="F19" s="48"/>
      <c r="G19" s="48"/>
      <c r="H19" s="48"/>
      <c r="I19" s="25"/>
      <c r="J19" s="17"/>
      <c r="K19" s="25"/>
    </row>
    <row r="20" spans="1:11" ht="16.5" customHeight="1" x14ac:dyDescent="0.2">
      <c r="A20" s="26" t="s">
        <v>61</v>
      </c>
      <c r="B20" s="28" t="s">
        <v>63</v>
      </c>
      <c r="C20" s="36"/>
      <c r="D20" s="28"/>
      <c r="E20" s="36"/>
      <c r="F20" s="50"/>
      <c r="G20" s="50"/>
      <c r="H20" s="50"/>
      <c r="I20" s="36"/>
      <c r="J20" s="28"/>
      <c r="K20" s="36"/>
    </row>
    <row r="21" spans="1:11" ht="16.5" customHeight="1" x14ac:dyDescent="0.2">
      <c r="A21" s="15" t="s">
        <v>64</v>
      </c>
      <c r="B21" s="17" t="s">
        <v>63</v>
      </c>
      <c r="C21" s="25"/>
      <c r="D21" s="17"/>
      <c r="E21" s="25"/>
      <c r="F21" s="48"/>
      <c r="G21" s="48"/>
      <c r="H21" s="48"/>
      <c r="I21" s="25"/>
      <c r="J21" s="17"/>
      <c r="K21" s="25"/>
    </row>
    <row r="22" spans="1:11" ht="16.5" customHeight="1" x14ac:dyDescent="0.2">
      <c r="A22" s="26" t="s">
        <v>66</v>
      </c>
      <c r="B22" s="28" t="s">
        <v>63</v>
      </c>
      <c r="C22" s="36"/>
      <c r="D22" s="28"/>
      <c r="E22" s="36"/>
      <c r="F22" s="50"/>
      <c r="G22" s="50"/>
      <c r="H22" s="50"/>
      <c r="I22" s="36"/>
      <c r="J22" s="28"/>
      <c r="K22" s="36"/>
    </row>
    <row r="23" spans="1:11" ht="16.5" customHeight="1" x14ac:dyDescent="0.2">
      <c r="A23" s="15" t="s">
        <v>68</v>
      </c>
      <c r="B23" s="17" t="s">
        <v>70</v>
      </c>
      <c r="C23" s="25"/>
      <c r="D23" s="17"/>
      <c r="E23" s="25"/>
      <c r="F23" s="48"/>
      <c r="G23" s="48"/>
      <c r="H23" s="48"/>
      <c r="I23" s="25"/>
      <c r="J23" s="17"/>
      <c r="K23" s="25"/>
    </row>
    <row r="24" spans="1:11" ht="16.5" customHeight="1" x14ac:dyDescent="0.2">
      <c r="A24" s="26" t="s">
        <v>71</v>
      </c>
      <c r="B24" s="28" t="s">
        <v>73</v>
      </c>
      <c r="C24" s="36"/>
      <c r="D24" s="28"/>
      <c r="E24" s="36"/>
      <c r="F24" s="50"/>
      <c r="G24" s="50"/>
      <c r="H24" s="50"/>
      <c r="I24" s="36"/>
      <c r="J24" s="28"/>
      <c r="K24" s="36"/>
    </row>
    <row r="25" spans="1:11" ht="16.5" customHeight="1" x14ac:dyDescent="0.2">
      <c r="A25" s="15" t="s">
        <v>74</v>
      </c>
      <c r="B25" s="17" t="s">
        <v>73</v>
      </c>
      <c r="C25" s="25"/>
      <c r="D25" s="17"/>
      <c r="E25" s="25"/>
      <c r="F25" s="48"/>
      <c r="G25" s="48"/>
      <c r="H25" s="48"/>
      <c r="I25" s="25"/>
      <c r="J25" s="17"/>
      <c r="K25" s="25"/>
    </row>
    <row r="26" spans="1:11" ht="16.5" customHeight="1" x14ac:dyDescent="0.2">
      <c r="A26" s="26" t="s">
        <v>76</v>
      </c>
      <c r="B26" s="28" t="s">
        <v>78</v>
      </c>
      <c r="C26" s="36"/>
      <c r="D26" s="28"/>
      <c r="E26" s="36"/>
      <c r="F26" s="50"/>
      <c r="G26" s="50"/>
      <c r="H26" s="50"/>
      <c r="I26" s="36"/>
      <c r="J26" s="28"/>
      <c r="K26" s="36"/>
    </row>
    <row r="27" spans="1:11" ht="16.5" customHeight="1" x14ac:dyDescent="0.2">
      <c r="A27" s="15" t="s">
        <v>79</v>
      </c>
      <c r="B27" s="17" t="s">
        <v>81</v>
      </c>
      <c r="C27" s="25"/>
      <c r="D27" s="17"/>
      <c r="E27" s="25"/>
      <c r="F27" s="48"/>
      <c r="G27" s="48"/>
      <c r="H27" s="48"/>
      <c r="I27" s="25"/>
      <c r="J27" s="17"/>
      <c r="K27" s="25"/>
    </row>
    <row r="28" spans="1:11" ht="16.5" customHeight="1" x14ac:dyDescent="0.2">
      <c r="A28" s="26" t="s">
        <v>82</v>
      </c>
      <c r="B28" s="28" t="s">
        <v>84</v>
      </c>
      <c r="C28" s="36"/>
      <c r="D28" s="28"/>
      <c r="E28" s="36"/>
      <c r="F28" s="50"/>
      <c r="G28" s="50"/>
      <c r="H28" s="50"/>
      <c r="I28" s="36"/>
      <c r="J28" s="28"/>
      <c r="K28" s="36"/>
    </row>
    <row r="29" spans="1:11" ht="16.5" customHeight="1" x14ac:dyDescent="0.2">
      <c r="A29" s="15" t="s">
        <v>85</v>
      </c>
      <c r="B29" s="17" t="s">
        <v>84</v>
      </c>
      <c r="C29" s="25"/>
      <c r="D29" s="17"/>
      <c r="E29" s="25"/>
      <c r="F29" s="48"/>
      <c r="G29" s="48"/>
      <c r="H29" s="48"/>
      <c r="I29" s="25"/>
      <c r="J29" s="17"/>
      <c r="K29" s="25"/>
    </row>
    <row r="30" spans="1:11" ht="16.5" customHeight="1" x14ac:dyDescent="0.2">
      <c r="A30" s="26" t="s">
        <v>87</v>
      </c>
      <c r="B30" s="28" t="s">
        <v>89</v>
      </c>
      <c r="C30" s="36"/>
      <c r="D30" s="28"/>
      <c r="E30" s="36"/>
      <c r="F30" s="50"/>
      <c r="G30" s="50"/>
      <c r="H30" s="50"/>
      <c r="I30" s="36"/>
      <c r="J30" s="28"/>
      <c r="K30" s="36"/>
    </row>
    <row r="31" spans="1:11" ht="16.5" customHeight="1" x14ac:dyDescent="0.2">
      <c r="A31" s="15" t="s">
        <v>90</v>
      </c>
      <c r="B31" s="17" t="s">
        <v>89</v>
      </c>
      <c r="C31" s="25"/>
      <c r="D31" s="17"/>
      <c r="E31" s="25"/>
      <c r="F31" s="48"/>
      <c r="G31" s="48"/>
      <c r="H31" s="48"/>
      <c r="I31" s="25"/>
      <c r="J31" s="17"/>
      <c r="K31" s="25"/>
    </row>
    <row r="32" spans="1:11" ht="16.5" customHeight="1" x14ac:dyDescent="0.2">
      <c r="A32" s="26" t="s">
        <v>92</v>
      </c>
      <c r="B32" s="28" t="s">
        <v>89</v>
      </c>
      <c r="C32" s="36"/>
      <c r="D32" s="28"/>
      <c r="E32" s="36"/>
      <c r="F32" s="50"/>
      <c r="G32" s="50"/>
      <c r="H32" s="50"/>
      <c r="I32" s="36"/>
      <c r="J32" s="28"/>
      <c r="K32" s="36"/>
    </row>
    <row r="33" spans="1:11" ht="16.5" customHeight="1" x14ac:dyDescent="0.2">
      <c r="A33" s="15" t="s">
        <v>94</v>
      </c>
      <c r="B33" s="17" t="s">
        <v>96</v>
      </c>
      <c r="C33" s="25"/>
      <c r="D33" s="17"/>
      <c r="E33" s="25"/>
      <c r="F33" s="48"/>
      <c r="G33" s="48"/>
      <c r="H33" s="48"/>
      <c r="I33" s="25"/>
      <c r="J33" s="17"/>
      <c r="K33" s="25"/>
    </row>
    <row r="34" spans="1:11" ht="16.5" customHeight="1" x14ac:dyDescent="0.2">
      <c r="A34" s="26" t="s">
        <v>97</v>
      </c>
      <c r="B34" s="28" t="s">
        <v>99</v>
      </c>
      <c r="C34" s="36"/>
      <c r="D34" s="28"/>
      <c r="E34" s="36"/>
      <c r="F34" s="50"/>
      <c r="G34" s="50"/>
      <c r="H34" s="50"/>
      <c r="I34" s="36"/>
      <c r="J34" s="28"/>
      <c r="K34" s="36"/>
    </row>
    <row r="35" spans="1:11" ht="16.5" customHeight="1" x14ac:dyDescent="0.2">
      <c r="A35" s="15" t="s">
        <v>100</v>
      </c>
      <c r="B35" s="17" t="s">
        <v>102</v>
      </c>
      <c r="C35" s="25"/>
      <c r="D35" s="17"/>
      <c r="E35" s="25"/>
      <c r="F35" s="48"/>
      <c r="G35" s="48"/>
      <c r="H35" s="48"/>
      <c r="I35" s="25"/>
      <c r="J35" s="17"/>
      <c r="K35" s="25"/>
    </row>
    <row r="36" spans="1:11" ht="16.5" customHeight="1" x14ac:dyDescent="0.2">
      <c r="A36" s="26" t="s">
        <v>103</v>
      </c>
      <c r="B36" s="28" t="s">
        <v>105</v>
      </c>
      <c r="C36" s="36"/>
      <c r="D36" s="28"/>
      <c r="E36" s="36"/>
      <c r="F36" s="50"/>
      <c r="G36" s="50"/>
      <c r="H36" s="50"/>
      <c r="I36" s="36"/>
      <c r="J36" s="28"/>
      <c r="K36" s="36"/>
    </row>
    <row r="37" spans="1:11" ht="16.5" customHeight="1" x14ac:dyDescent="0.2">
      <c r="A37" s="15" t="s">
        <v>106</v>
      </c>
      <c r="B37" s="17" t="s">
        <v>108</v>
      </c>
      <c r="C37" s="25"/>
      <c r="D37" s="17"/>
      <c r="E37" s="25"/>
      <c r="F37" s="48"/>
      <c r="G37" s="48"/>
      <c r="H37" s="48"/>
      <c r="I37" s="25"/>
      <c r="J37" s="17"/>
      <c r="K37" s="25"/>
    </row>
    <row r="38" spans="1:11" ht="16.5" customHeight="1" x14ac:dyDescent="0.2">
      <c r="A38" s="26" t="s">
        <v>109</v>
      </c>
      <c r="B38" s="28" t="s">
        <v>111</v>
      </c>
      <c r="C38" s="36"/>
      <c r="D38" s="28"/>
      <c r="E38" s="36"/>
      <c r="F38" s="50"/>
      <c r="G38" s="50"/>
      <c r="H38" s="50"/>
      <c r="I38" s="36"/>
      <c r="J38" s="28"/>
      <c r="K38" s="36"/>
    </row>
    <row r="39" spans="1:11" ht="16.5" customHeight="1" x14ac:dyDescent="0.2">
      <c r="A39" s="15" t="s">
        <v>112</v>
      </c>
      <c r="B39" s="17" t="s">
        <v>111</v>
      </c>
      <c r="C39" s="25"/>
      <c r="D39" s="17"/>
      <c r="E39" s="25"/>
      <c r="F39" s="48"/>
      <c r="G39" s="48"/>
      <c r="H39" s="48"/>
      <c r="I39" s="25"/>
      <c r="J39" s="17"/>
      <c r="K39" s="25"/>
    </row>
    <row r="40" spans="1:11" ht="16.5" customHeight="1" x14ac:dyDescent="0.2">
      <c r="A40" s="26" t="s">
        <v>114</v>
      </c>
      <c r="B40" s="28" t="s">
        <v>111</v>
      </c>
      <c r="C40" s="36"/>
      <c r="D40" s="28"/>
      <c r="E40" s="36"/>
      <c r="F40" s="50"/>
      <c r="G40" s="50"/>
      <c r="H40" s="50"/>
      <c r="I40" s="36"/>
      <c r="J40" s="28"/>
      <c r="K40" s="36"/>
    </row>
    <row r="41" spans="1:11" ht="16.5" customHeight="1" x14ac:dyDescent="0.2">
      <c r="A41" s="15" t="s">
        <v>116</v>
      </c>
      <c r="B41" s="17" t="s">
        <v>118</v>
      </c>
      <c r="C41" s="25"/>
      <c r="D41" s="17"/>
      <c r="E41" s="25"/>
      <c r="F41" s="48"/>
      <c r="G41" s="48"/>
      <c r="H41" s="48"/>
      <c r="I41" s="25"/>
      <c r="J41" s="17"/>
      <c r="K41" s="25"/>
    </row>
    <row r="42" spans="1:11" ht="16.5" customHeight="1" x14ac:dyDescent="0.2">
      <c r="A42" s="26" t="s">
        <v>119</v>
      </c>
      <c r="B42" s="28" t="s">
        <v>111</v>
      </c>
      <c r="C42" s="36"/>
      <c r="D42" s="28"/>
      <c r="E42" s="36"/>
      <c r="F42" s="50"/>
      <c r="G42" s="50"/>
      <c r="H42" s="50"/>
      <c r="I42" s="36"/>
      <c r="J42" s="28"/>
      <c r="K42" s="36"/>
    </row>
    <row r="43" spans="1:11" ht="16.5" customHeight="1" x14ac:dyDescent="0.2">
      <c r="A43" s="15" t="s">
        <v>121</v>
      </c>
      <c r="B43" s="17" t="s">
        <v>111</v>
      </c>
      <c r="C43" s="25"/>
      <c r="D43" s="17"/>
      <c r="E43" s="25"/>
      <c r="F43" s="48"/>
      <c r="G43" s="48"/>
      <c r="H43" s="48"/>
      <c r="I43" s="25"/>
      <c r="J43" s="17"/>
      <c r="K43" s="25"/>
    </row>
    <row r="44" spans="1:11" ht="16.5" customHeight="1" x14ac:dyDescent="0.2">
      <c r="A44" s="26" t="s">
        <v>123</v>
      </c>
      <c r="B44" s="28" t="s">
        <v>111</v>
      </c>
      <c r="C44" s="36"/>
      <c r="D44" s="28"/>
      <c r="E44" s="36"/>
      <c r="F44" s="50"/>
      <c r="G44" s="50"/>
      <c r="H44" s="50"/>
      <c r="I44" s="36"/>
      <c r="J44" s="28"/>
      <c r="K44" s="36"/>
    </row>
    <row r="45" spans="1:11" ht="16.5" customHeight="1" x14ac:dyDescent="0.2">
      <c r="A45" s="15" t="s">
        <v>125</v>
      </c>
      <c r="B45" s="17" t="s">
        <v>111</v>
      </c>
      <c r="C45" s="25"/>
      <c r="D45" s="17"/>
      <c r="E45" s="25"/>
      <c r="F45" s="48"/>
      <c r="G45" s="48"/>
      <c r="H45" s="48"/>
      <c r="I45" s="25"/>
      <c r="J45" s="17"/>
      <c r="K45" s="25"/>
    </row>
    <row r="46" spans="1:11" ht="16.5" customHeight="1" x14ac:dyDescent="0.2">
      <c r="A46" s="26" t="s">
        <v>127</v>
      </c>
      <c r="B46" s="28" t="s">
        <v>111</v>
      </c>
      <c r="C46" s="36"/>
      <c r="D46" s="28"/>
      <c r="E46" s="36"/>
      <c r="F46" s="50"/>
      <c r="G46" s="50"/>
      <c r="H46" s="50"/>
      <c r="I46" s="36"/>
      <c r="J46" s="28"/>
      <c r="K46" s="36"/>
    </row>
    <row r="47" spans="1:11" ht="16.5" customHeight="1" x14ac:dyDescent="0.2">
      <c r="A47" s="15" t="s">
        <v>128</v>
      </c>
      <c r="B47" s="17" t="s">
        <v>111</v>
      </c>
      <c r="C47" s="25"/>
      <c r="D47" s="17"/>
      <c r="E47" s="25"/>
      <c r="F47" s="48"/>
      <c r="G47" s="48"/>
      <c r="H47" s="48"/>
      <c r="I47" s="25"/>
      <c r="J47" s="17"/>
      <c r="K47" s="25"/>
    </row>
    <row r="48" spans="1:11" ht="16.5" customHeight="1" x14ac:dyDescent="0.2">
      <c r="A48" s="26" t="s">
        <v>129</v>
      </c>
      <c r="B48" s="28" t="s">
        <v>131</v>
      </c>
      <c r="C48" s="36"/>
      <c r="D48" s="28"/>
      <c r="E48" s="36"/>
      <c r="F48" s="50"/>
      <c r="G48" s="50"/>
      <c r="H48" s="50"/>
      <c r="I48" s="36"/>
      <c r="J48" s="28"/>
      <c r="K48" s="36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72"/>
  <sheetViews>
    <sheetView showGridLines="0" topLeftCell="A31" zoomScaleNormal="100" workbookViewId="0">
      <selection activeCell="D60" sqref="D60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3" width="22" customWidth="1"/>
    <col min="4" max="4" width="52" customWidth="1"/>
    <col min="5" max="5" width="28" customWidth="1"/>
  </cols>
  <sheetData>
    <row r="1" spans="1:5" ht="15" customHeight="1" x14ac:dyDescent="0.2">
      <c r="A1" s="13" t="s">
        <v>213</v>
      </c>
      <c r="B1" s="13"/>
      <c r="C1" s="13"/>
      <c r="D1" s="13"/>
      <c r="E1" s="13"/>
    </row>
    <row r="2" spans="1:5" ht="19.5" customHeight="1" x14ac:dyDescent="0.2">
      <c r="A2" s="11" t="s">
        <v>214</v>
      </c>
      <c r="B2" s="11"/>
      <c r="C2" s="11"/>
      <c r="D2" s="11"/>
      <c r="E2" s="11"/>
    </row>
    <row r="3" spans="1:5" ht="24" customHeight="1" x14ac:dyDescent="0.2">
      <c r="A3" s="46" t="s">
        <v>4</v>
      </c>
      <c r="B3" s="46" t="s">
        <v>5</v>
      </c>
      <c r="C3" s="46" t="s">
        <v>6</v>
      </c>
      <c r="D3" s="46" t="s">
        <v>215</v>
      </c>
      <c r="E3" s="46" t="s">
        <v>216</v>
      </c>
    </row>
    <row r="4" spans="1:5" ht="15.75" customHeight="1" x14ac:dyDescent="0.2">
      <c r="A4" s="1" t="s">
        <v>217</v>
      </c>
      <c r="B4" s="1"/>
      <c r="C4" s="1"/>
      <c r="D4" s="1"/>
      <c r="E4" s="1"/>
    </row>
    <row r="5" spans="1:5" ht="16.5" customHeight="1" x14ac:dyDescent="0.2">
      <c r="A5" s="54" t="s">
        <v>23</v>
      </c>
      <c r="B5" s="55" t="s">
        <v>24</v>
      </c>
      <c r="C5" s="56" t="s">
        <v>25</v>
      </c>
      <c r="D5" s="57" t="s">
        <v>218</v>
      </c>
      <c r="E5" s="17"/>
    </row>
    <row r="6" spans="1:5" ht="16.5" customHeight="1" x14ac:dyDescent="0.2">
      <c r="A6" s="58" t="s">
        <v>26</v>
      </c>
      <c r="B6" s="59" t="s">
        <v>27</v>
      </c>
      <c r="C6" s="60" t="s">
        <v>25</v>
      </c>
      <c r="D6" s="61" t="s">
        <v>219</v>
      </c>
      <c r="E6" s="28"/>
    </row>
    <row r="7" spans="1:5" ht="16.5" customHeight="1" x14ac:dyDescent="0.2">
      <c r="A7" s="54" t="s">
        <v>28</v>
      </c>
      <c r="B7" s="55" t="s">
        <v>29</v>
      </c>
      <c r="C7" s="56" t="s">
        <v>25</v>
      </c>
      <c r="D7" s="57" t="s">
        <v>220</v>
      </c>
      <c r="E7" s="17"/>
    </row>
    <row r="8" spans="1:5" ht="15.75" customHeight="1" x14ac:dyDescent="0.2">
      <c r="A8" s="1" t="s">
        <v>221</v>
      </c>
      <c r="B8" s="1"/>
      <c r="C8" s="1"/>
      <c r="D8" s="1"/>
      <c r="E8" s="1"/>
    </row>
    <row r="9" spans="1:5" ht="16.5" customHeight="1" x14ac:dyDescent="0.2">
      <c r="A9" s="58" t="s">
        <v>30</v>
      </c>
      <c r="B9" s="59" t="s">
        <v>31</v>
      </c>
      <c r="C9" s="60" t="s">
        <v>32</v>
      </c>
      <c r="D9" s="61" t="s">
        <v>222</v>
      </c>
      <c r="E9" s="28"/>
    </row>
    <row r="10" spans="1:5" ht="16.5" customHeight="1" x14ac:dyDescent="0.2">
      <c r="A10" s="54" t="s">
        <v>33</v>
      </c>
      <c r="B10" s="55" t="s">
        <v>34</v>
      </c>
      <c r="C10" s="56" t="s">
        <v>32</v>
      </c>
      <c r="D10" s="57" t="s">
        <v>223</v>
      </c>
      <c r="E10" s="17"/>
    </row>
    <row r="11" spans="1:5" ht="16.5" customHeight="1" x14ac:dyDescent="0.2">
      <c r="A11" s="58" t="s">
        <v>35</v>
      </c>
      <c r="B11" s="59" t="s">
        <v>36</v>
      </c>
      <c r="C11" s="60" t="s">
        <v>32</v>
      </c>
      <c r="D11" s="61" t="s">
        <v>224</v>
      </c>
      <c r="E11" s="28"/>
    </row>
    <row r="12" spans="1:5" ht="16.5" customHeight="1" x14ac:dyDescent="0.2">
      <c r="A12" s="54" t="s">
        <v>37</v>
      </c>
      <c r="B12" s="55" t="s">
        <v>38</v>
      </c>
      <c r="C12" s="56" t="s">
        <v>32</v>
      </c>
      <c r="D12" s="57" t="s">
        <v>225</v>
      </c>
      <c r="E12" s="17"/>
    </row>
    <row r="13" spans="1:5" ht="16.5" customHeight="1" x14ac:dyDescent="0.2">
      <c r="A13" s="58" t="s">
        <v>39</v>
      </c>
      <c r="B13" s="59" t="s">
        <v>38</v>
      </c>
      <c r="C13" s="60" t="s">
        <v>32</v>
      </c>
      <c r="D13" s="61" t="s">
        <v>226</v>
      </c>
      <c r="E13" s="28"/>
    </row>
    <row r="14" spans="1:5" ht="16.5" customHeight="1" x14ac:dyDescent="0.2">
      <c r="A14" s="54" t="s">
        <v>40</v>
      </c>
      <c r="B14" s="55" t="s">
        <v>38</v>
      </c>
      <c r="C14" s="56" t="s">
        <v>32</v>
      </c>
      <c r="D14" s="57" t="s">
        <v>227</v>
      </c>
      <c r="E14" s="17"/>
    </row>
    <row r="15" spans="1:5" ht="16.5" customHeight="1" x14ac:dyDescent="0.2">
      <c r="A15" s="58" t="s">
        <v>41</v>
      </c>
      <c r="B15" s="59" t="s">
        <v>38</v>
      </c>
      <c r="C15" s="60" t="s">
        <v>32</v>
      </c>
      <c r="D15" s="61" t="s">
        <v>228</v>
      </c>
      <c r="E15" s="28"/>
    </row>
    <row r="16" spans="1:5" ht="16.5" customHeight="1" x14ac:dyDescent="0.2">
      <c r="A16" s="54" t="s">
        <v>42</v>
      </c>
      <c r="B16" s="55" t="s">
        <v>43</v>
      </c>
      <c r="C16" s="56" t="s">
        <v>32</v>
      </c>
      <c r="D16" s="57" t="s">
        <v>229</v>
      </c>
      <c r="E16" s="17"/>
    </row>
    <row r="17" spans="1:5" ht="15.75" customHeight="1" x14ac:dyDescent="0.2">
      <c r="A17" s="1" t="s">
        <v>230</v>
      </c>
      <c r="B17" s="1"/>
      <c r="C17" s="1"/>
      <c r="D17" s="1"/>
      <c r="E17" s="1"/>
    </row>
    <row r="18" spans="1:5" ht="16.5" customHeight="1" x14ac:dyDescent="0.2">
      <c r="A18" s="58" t="s">
        <v>44</v>
      </c>
      <c r="B18" s="59" t="s">
        <v>45</v>
      </c>
      <c r="C18" s="60" t="s">
        <v>46</v>
      </c>
      <c r="D18" s="61" t="s">
        <v>231</v>
      </c>
      <c r="E18" s="28"/>
    </row>
    <row r="19" spans="1:5" ht="15.75" customHeight="1" x14ac:dyDescent="0.2">
      <c r="A19" s="1" t="s">
        <v>232</v>
      </c>
      <c r="B19" s="1"/>
      <c r="C19" s="1"/>
      <c r="D19" s="1"/>
      <c r="E19" s="1"/>
    </row>
    <row r="20" spans="1:5" ht="16.5" customHeight="1" x14ac:dyDescent="0.2">
      <c r="A20" s="54" t="s">
        <v>47</v>
      </c>
      <c r="B20" s="55" t="s">
        <v>48</v>
      </c>
      <c r="C20" s="56" t="s">
        <v>49</v>
      </c>
      <c r="D20" s="57" t="s">
        <v>233</v>
      </c>
      <c r="E20" s="17"/>
    </row>
    <row r="21" spans="1:5" ht="16.5" customHeight="1" x14ac:dyDescent="0.2">
      <c r="A21" s="58" t="s">
        <v>50</v>
      </c>
      <c r="B21" s="59" t="s">
        <v>51</v>
      </c>
      <c r="C21" s="60" t="s">
        <v>49</v>
      </c>
      <c r="D21" s="61" t="s">
        <v>234</v>
      </c>
      <c r="E21" s="28"/>
    </row>
    <row r="22" spans="1:5" ht="15.75" customHeight="1" x14ac:dyDescent="0.2">
      <c r="A22" s="1" t="s">
        <v>235</v>
      </c>
      <c r="B22" s="1"/>
      <c r="C22" s="1"/>
      <c r="D22" s="1"/>
      <c r="E22" s="1"/>
    </row>
    <row r="23" spans="1:5" ht="16.5" customHeight="1" x14ac:dyDescent="0.2">
      <c r="A23" s="54" t="s">
        <v>52</v>
      </c>
      <c r="B23" s="55" t="s">
        <v>53</v>
      </c>
      <c r="C23" s="56" t="s">
        <v>54</v>
      </c>
      <c r="D23" s="57" t="s">
        <v>236</v>
      </c>
      <c r="E23" s="17"/>
    </row>
    <row r="24" spans="1:5" ht="15.75" customHeight="1" x14ac:dyDescent="0.2">
      <c r="A24" s="1" t="s">
        <v>237</v>
      </c>
      <c r="B24" s="1"/>
      <c r="C24" s="1"/>
      <c r="D24" s="1"/>
      <c r="E24" s="1"/>
    </row>
    <row r="25" spans="1:5" ht="16.5" customHeight="1" x14ac:dyDescent="0.2">
      <c r="A25" s="58" t="s">
        <v>55</v>
      </c>
      <c r="B25" s="59" t="s">
        <v>56</v>
      </c>
      <c r="C25" s="60" t="s">
        <v>57</v>
      </c>
      <c r="D25" s="61" t="s">
        <v>238</v>
      </c>
      <c r="E25" s="28"/>
    </row>
    <row r="26" spans="1:5" ht="15.75" customHeight="1" x14ac:dyDescent="0.2">
      <c r="A26" s="1" t="s">
        <v>239</v>
      </c>
      <c r="B26" s="1"/>
      <c r="C26" s="1"/>
      <c r="D26" s="1"/>
      <c r="E26" s="1"/>
    </row>
    <row r="27" spans="1:5" ht="16.5" customHeight="1" x14ac:dyDescent="0.2">
      <c r="A27" s="54" t="s">
        <v>58</v>
      </c>
      <c r="B27" s="55" t="s">
        <v>59</v>
      </c>
      <c r="C27" s="56" t="s">
        <v>60</v>
      </c>
      <c r="D27" s="57" t="s">
        <v>240</v>
      </c>
      <c r="E27" s="17"/>
    </row>
    <row r="28" spans="1:5" ht="15.75" customHeight="1" x14ac:dyDescent="0.2">
      <c r="A28" s="1" t="s">
        <v>241</v>
      </c>
      <c r="B28" s="1"/>
      <c r="C28" s="1"/>
      <c r="D28" s="1"/>
      <c r="E28" s="1"/>
    </row>
    <row r="29" spans="1:5" ht="16.5" customHeight="1" x14ac:dyDescent="0.2">
      <c r="A29" s="58" t="s">
        <v>61</v>
      </c>
      <c r="B29" s="59" t="s">
        <v>62</v>
      </c>
      <c r="C29" s="60" t="s">
        <v>63</v>
      </c>
      <c r="D29" s="61" t="s">
        <v>242</v>
      </c>
      <c r="E29" s="28"/>
    </row>
    <row r="30" spans="1:5" ht="16.5" customHeight="1" x14ac:dyDescent="0.2">
      <c r="A30" s="54" t="s">
        <v>64</v>
      </c>
      <c r="B30" s="55" t="s">
        <v>65</v>
      </c>
      <c r="C30" s="56" t="s">
        <v>63</v>
      </c>
      <c r="D30" s="57" t="s">
        <v>243</v>
      </c>
      <c r="E30" s="17"/>
    </row>
    <row r="31" spans="1:5" ht="16.5" customHeight="1" x14ac:dyDescent="0.2">
      <c r="A31" s="58" t="s">
        <v>66</v>
      </c>
      <c r="B31" s="59" t="s">
        <v>67</v>
      </c>
      <c r="C31" s="60" t="s">
        <v>63</v>
      </c>
      <c r="D31" s="61" t="s">
        <v>244</v>
      </c>
      <c r="E31" s="28"/>
    </row>
    <row r="32" spans="1:5" ht="15.75" customHeight="1" x14ac:dyDescent="0.2">
      <c r="A32" s="1" t="s">
        <v>245</v>
      </c>
      <c r="B32" s="1"/>
      <c r="C32" s="1"/>
      <c r="D32" s="1"/>
      <c r="E32" s="1"/>
    </row>
    <row r="33" spans="1:5" ht="16.5" customHeight="1" x14ac:dyDescent="0.2">
      <c r="A33" s="54" t="s">
        <v>68</v>
      </c>
      <c r="B33" s="55" t="s">
        <v>69</v>
      </c>
      <c r="C33" s="56" t="s">
        <v>70</v>
      </c>
      <c r="D33" s="57" t="s">
        <v>246</v>
      </c>
      <c r="E33" s="17"/>
    </row>
    <row r="34" spans="1:5" ht="15.75" customHeight="1" x14ac:dyDescent="0.2">
      <c r="A34" s="1" t="s">
        <v>247</v>
      </c>
      <c r="B34" s="1"/>
      <c r="C34" s="1"/>
      <c r="D34" s="1"/>
      <c r="E34" s="1"/>
    </row>
    <row r="35" spans="1:5" ht="16.5" customHeight="1" x14ac:dyDescent="0.2">
      <c r="A35" s="58" t="s">
        <v>71</v>
      </c>
      <c r="B35" s="59" t="s">
        <v>72</v>
      </c>
      <c r="C35" s="60" t="s">
        <v>73</v>
      </c>
      <c r="D35" s="61" t="s">
        <v>248</v>
      </c>
      <c r="E35" s="28"/>
    </row>
    <row r="36" spans="1:5" ht="16.5" customHeight="1" x14ac:dyDescent="0.2">
      <c r="A36" s="54" t="s">
        <v>74</v>
      </c>
      <c r="B36" s="55" t="s">
        <v>75</v>
      </c>
      <c r="C36" s="56" t="s">
        <v>73</v>
      </c>
      <c r="D36" s="57" t="s">
        <v>249</v>
      </c>
      <c r="E36" s="17"/>
    </row>
    <row r="37" spans="1:5" ht="15.75" customHeight="1" x14ac:dyDescent="0.2">
      <c r="A37" s="1" t="s">
        <v>250</v>
      </c>
      <c r="B37" s="1"/>
      <c r="C37" s="1"/>
      <c r="D37" s="1"/>
      <c r="E37" s="1"/>
    </row>
    <row r="38" spans="1:5" ht="16.5" customHeight="1" x14ac:dyDescent="0.2">
      <c r="A38" s="58" t="s">
        <v>76</v>
      </c>
      <c r="B38" s="59" t="s">
        <v>77</v>
      </c>
      <c r="C38" s="60" t="s">
        <v>78</v>
      </c>
      <c r="D38" s="61" t="s">
        <v>251</v>
      </c>
      <c r="E38" s="28"/>
    </row>
    <row r="39" spans="1:5" ht="15.75" customHeight="1" x14ac:dyDescent="0.2">
      <c r="A39" s="1" t="s">
        <v>252</v>
      </c>
      <c r="B39" s="1"/>
      <c r="C39" s="1"/>
      <c r="D39" s="1"/>
      <c r="E39" s="1"/>
    </row>
    <row r="40" spans="1:5" ht="16.5" customHeight="1" x14ac:dyDescent="0.2">
      <c r="A40" s="54" t="s">
        <v>79</v>
      </c>
      <c r="B40" s="55" t="s">
        <v>80</v>
      </c>
      <c r="C40" s="56" t="s">
        <v>81</v>
      </c>
      <c r="D40" s="57" t="s">
        <v>253</v>
      </c>
      <c r="E40" s="17"/>
    </row>
    <row r="41" spans="1:5" ht="15.75" customHeight="1" x14ac:dyDescent="0.2">
      <c r="A41" s="1" t="s">
        <v>254</v>
      </c>
      <c r="B41" s="1"/>
      <c r="C41" s="1"/>
      <c r="D41" s="1"/>
      <c r="E41" s="1"/>
    </row>
    <row r="42" spans="1:5" ht="16.5" customHeight="1" x14ac:dyDescent="0.2">
      <c r="A42" s="58" t="s">
        <v>82</v>
      </c>
      <c r="B42" s="59" t="s">
        <v>83</v>
      </c>
      <c r="C42" s="60" t="s">
        <v>84</v>
      </c>
      <c r="D42" s="61" t="s">
        <v>255</v>
      </c>
      <c r="E42" s="28"/>
    </row>
    <row r="43" spans="1:5" ht="16.5" customHeight="1" x14ac:dyDescent="0.2">
      <c r="A43" s="54" t="s">
        <v>85</v>
      </c>
      <c r="B43" s="55" t="s">
        <v>86</v>
      </c>
      <c r="C43" s="56" t="s">
        <v>84</v>
      </c>
      <c r="D43" s="57" t="s">
        <v>256</v>
      </c>
      <c r="E43" s="17"/>
    </row>
    <row r="44" spans="1:5" ht="15.75" customHeight="1" x14ac:dyDescent="0.2">
      <c r="A44" s="1" t="s">
        <v>257</v>
      </c>
      <c r="B44" s="1"/>
      <c r="C44" s="1"/>
      <c r="D44" s="1"/>
      <c r="E44" s="1"/>
    </row>
    <row r="45" spans="1:5" ht="16.5" customHeight="1" x14ac:dyDescent="0.2">
      <c r="A45" s="58" t="s">
        <v>87</v>
      </c>
      <c r="B45" s="59" t="s">
        <v>88</v>
      </c>
      <c r="C45" s="60" t="s">
        <v>89</v>
      </c>
      <c r="D45" s="61" t="s">
        <v>258</v>
      </c>
      <c r="E45" s="28"/>
    </row>
    <row r="46" spans="1:5" ht="16.5" customHeight="1" x14ac:dyDescent="0.2">
      <c r="A46" s="54" t="s">
        <v>90</v>
      </c>
      <c r="B46" s="55" t="s">
        <v>91</v>
      </c>
      <c r="C46" s="56" t="s">
        <v>89</v>
      </c>
      <c r="D46" s="57" t="s">
        <v>259</v>
      </c>
      <c r="E46" s="17"/>
    </row>
    <row r="47" spans="1:5" ht="16.5" customHeight="1" x14ac:dyDescent="0.2">
      <c r="A47" s="58" t="s">
        <v>92</v>
      </c>
      <c r="B47" s="59" t="s">
        <v>93</v>
      </c>
      <c r="C47" s="60" t="s">
        <v>89</v>
      </c>
      <c r="D47" s="61" t="s">
        <v>260</v>
      </c>
      <c r="E47" s="28"/>
    </row>
    <row r="48" spans="1:5" ht="15.75" customHeight="1" x14ac:dyDescent="0.2">
      <c r="A48" s="1" t="s">
        <v>261</v>
      </c>
      <c r="B48" s="1"/>
      <c r="C48" s="1"/>
      <c r="D48" s="1"/>
      <c r="E48" s="1"/>
    </row>
    <row r="49" spans="1:5" ht="16.5" customHeight="1" x14ac:dyDescent="0.2">
      <c r="A49" s="54" t="s">
        <v>94</v>
      </c>
      <c r="B49" s="55" t="s">
        <v>95</v>
      </c>
      <c r="C49" s="56" t="s">
        <v>96</v>
      </c>
      <c r="D49" s="57" t="s">
        <v>262</v>
      </c>
      <c r="E49" s="17"/>
    </row>
    <row r="50" spans="1:5" ht="15.75" customHeight="1" x14ac:dyDescent="0.2">
      <c r="A50" s="1" t="s">
        <v>263</v>
      </c>
      <c r="B50" s="1"/>
      <c r="C50" s="1"/>
      <c r="D50" s="1"/>
      <c r="E50" s="1"/>
    </row>
    <row r="51" spans="1:5" ht="16.5" customHeight="1" x14ac:dyDescent="0.2">
      <c r="A51" s="58" t="s">
        <v>97</v>
      </c>
      <c r="B51" s="59" t="s">
        <v>98</v>
      </c>
      <c r="C51" s="60" t="s">
        <v>99</v>
      </c>
      <c r="D51" s="61" t="s">
        <v>264</v>
      </c>
      <c r="E51" s="28"/>
    </row>
    <row r="52" spans="1:5" ht="15.75" customHeight="1" x14ac:dyDescent="0.2">
      <c r="A52" s="1" t="s">
        <v>265</v>
      </c>
      <c r="B52" s="1"/>
      <c r="C52" s="1"/>
      <c r="D52" s="1"/>
      <c r="E52" s="1"/>
    </row>
    <row r="53" spans="1:5" ht="16.5" customHeight="1" x14ac:dyDescent="0.2">
      <c r="A53" s="54" t="s">
        <v>100</v>
      </c>
      <c r="B53" s="55" t="s">
        <v>101</v>
      </c>
      <c r="C53" s="56" t="s">
        <v>102</v>
      </c>
      <c r="D53" s="57" t="s">
        <v>266</v>
      </c>
      <c r="E53" s="17"/>
    </row>
    <row r="54" spans="1:5" ht="15.75" customHeight="1" x14ac:dyDescent="0.2">
      <c r="A54" s="1" t="s">
        <v>267</v>
      </c>
      <c r="B54" s="1"/>
      <c r="C54" s="1"/>
      <c r="D54" s="1"/>
      <c r="E54" s="1"/>
    </row>
    <row r="55" spans="1:5" ht="16.5" customHeight="1" x14ac:dyDescent="0.2">
      <c r="A55" s="58" t="s">
        <v>103</v>
      </c>
      <c r="B55" s="59" t="s">
        <v>104</v>
      </c>
      <c r="C55" s="60" t="s">
        <v>105</v>
      </c>
      <c r="D55" s="61" t="s">
        <v>268</v>
      </c>
      <c r="E55" s="28"/>
    </row>
    <row r="56" spans="1:5" ht="15.75" customHeight="1" x14ac:dyDescent="0.2">
      <c r="A56" s="1" t="s">
        <v>269</v>
      </c>
      <c r="B56" s="1"/>
      <c r="C56" s="1"/>
      <c r="D56" s="1"/>
      <c r="E56" s="1"/>
    </row>
    <row r="57" spans="1:5" ht="16.5" customHeight="1" x14ac:dyDescent="0.2">
      <c r="A57" s="54" t="s">
        <v>106</v>
      </c>
      <c r="B57" s="55" t="s">
        <v>107</v>
      </c>
      <c r="C57" s="56" t="s">
        <v>108</v>
      </c>
      <c r="D57" s="57" t="s">
        <v>270</v>
      </c>
      <c r="E57" s="17"/>
    </row>
    <row r="58" spans="1:5" ht="15.75" customHeight="1" x14ac:dyDescent="0.2">
      <c r="A58" s="1" t="s">
        <v>271</v>
      </c>
      <c r="B58" s="1"/>
      <c r="C58" s="1"/>
      <c r="D58" s="1"/>
      <c r="E58" s="1"/>
    </row>
    <row r="59" spans="1:5" ht="16.5" customHeight="1" x14ac:dyDescent="0.2">
      <c r="A59" s="58" t="s">
        <v>109</v>
      </c>
      <c r="B59" s="59" t="s">
        <v>110</v>
      </c>
      <c r="C59" s="60" t="s">
        <v>111</v>
      </c>
      <c r="D59" s="61" t="s">
        <v>272</v>
      </c>
      <c r="E59" s="28"/>
    </row>
    <row r="60" spans="1:5" ht="16.5" customHeight="1" x14ac:dyDescent="0.2">
      <c r="A60" s="54" t="s">
        <v>112</v>
      </c>
      <c r="B60" s="55" t="s">
        <v>113</v>
      </c>
      <c r="C60" s="56" t="s">
        <v>111</v>
      </c>
      <c r="D60" s="66" t="s">
        <v>273</v>
      </c>
      <c r="E60" s="17"/>
    </row>
    <row r="61" spans="1:5" ht="16.5" customHeight="1" x14ac:dyDescent="0.2">
      <c r="A61" s="58" t="s">
        <v>114</v>
      </c>
      <c r="B61" s="59" t="s">
        <v>115</v>
      </c>
      <c r="C61" s="60" t="s">
        <v>111</v>
      </c>
      <c r="D61" s="61" t="s">
        <v>274</v>
      </c>
      <c r="E61" s="28"/>
    </row>
    <row r="62" spans="1:5" ht="15.75" customHeight="1" x14ac:dyDescent="0.2">
      <c r="A62" s="1" t="s">
        <v>275</v>
      </c>
      <c r="B62" s="1"/>
      <c r="C62" s="1"/>
      <c r="D62" s="1"/>
      <c r="E62" s="1"/>
    </row>
    <row r="63" spans="1:5" ht="16.5" customHeight="1" x14ac:dyDescent="0.2">
      <c r="A63" s="54" t="s">
        <v>116</v>
      </c>
      <c r="B63" s="55" t="s">
        <v>117</v>
      </c>
      <c r="C63" s="56" t="s">
        <v>118</v>
      </c>
      <c r="D63" s="57" t="s">
        <v>276</v>
      </c>
      <c r="E63" s="17"/>
    </row>
    <row r="64" spans="1:5" ht="15.75" customHeight="1" x14ac:dyDescent="0.2">
      <c r="A64" s="1" t="s">
        <v>271</v>
      </c>
      <c r="B64" s="1"/>
      <c r="C64" s="1"/>
      <c r="D64" s="1"/>
      <c r="E64" s="1"/>
    </row>
    <row r="65" spans="1:5" ht="16.5" customHeight="1" x14ac:dyDescent="0.2">
      <c r="A65" s="58" t="s">
        <v>119</v>
      </c>
      <c r="B65" s="59" t="s">
        <v>120</v>
      </c>
      <c r="C65" s="60" t="s">
        <v>111</v>
      </c>
      <c r="D65" s="61" t="s">
        <v>277</v>
      </c>
      <c r="E65" s="28"/>
    </row>
    <row r="66" spans="1:5" ht="16.5" customHeight="1" x14ac:dyDescent="0.2">
      <c r="A66" s="54" t="s">
        <v>121</v>
      </c>
      <c r="B66" s="55" t="s">
        <v>122</v>
      </c>
      <c r="C66" s="56" t="s">
        <v>111</v>
      </c>
      <c r="D66" s="57" t="s">
        <v>278</v>
      </c>
      <c r="E66" s="17"/>
    </row>
    <row r="67" spans="1:5" ht="16.5" customHeight="1" x14ac:dyDescent="0.2">
      <c r="A67" s="58" t="s">
        <v>123</v>
      </c>
      <c r="B67" s="59" t="s">
        <v>124</v>
      </c>
      <c r="C67" s="60" t="s">
        <v>111</v>
      </c>
      <c r="D67" s="61" t="s">
        <v>279</v>
      </c>
      <c r="E67" s="28"/>
    </row>
    <row r="68" spans="1:5" ht="16.5" customHeight="1" x14ac:dyDescent="0.2">
      <c r="A68" s="54" t="s">
        <v>125</v>
      </c>
      <c r="B68" s="55" t="s">
        <v>126</v>
      </c>
      <c r="C68" s="56" t="s">
        <v>111</v>
      </c>
      <c r="D68" s="57" t="s">
        <v>280</v>
      </c>
      <c r="E68" s="17"/>
    </row>
    <row r="69" spans="1:5" ht="16.5" customHeight="1" x14ac:dyDescent="0.2">
      <c r="A69" s="58" t="s">
        <v>127</v>
      </c>
      <c r="B69" s="59" t="s">
        <v>38</v>
      </c>
      <c r="C69" s="60" t="s">
        <v>111</v>
      </c>
      <c r="D69" s="61" t="s">
        <v>281</v>
      </c>
      <c r="E69" s="28"/>
    </row>
    <row r="70" spans="1:5" ht="16.5" customHeight="1" x14ac:dyDescent="0.2">
      <c r="A70" s="54" t="s">
        <v>128</v>
      </c>
      <c r="B70" s="55" t="s">
        <v>38</v>
      </c>
      <c r="C70" s="56" t="s">
        <v>111</v>
      </c>
      <c r="D70" s="57" t="s">
        <v>282</v>
      </c>
      <c r="E70" s="17"/>
    </row>
    <row r="71" spans="1:5" ht="15.75" customHeight="1" x14ac:dyDescent="0.2">
      <c r="A71" s="1" t="s">
        <v>283</v>
      </c>
      <c r="B71" s="1"/>
      <c r="C71" s="1"/>
      <c r="D71" s="1"/>
      <c r="E71" s="1"/>
    </row>
    <row r="72" spans="1:5" ht="16.5" customHeight="1" x14ac:dyDescent="0.2">
      <c r="A72" s="58" t="s">
        <v>129</v>
      </c>
      <c r="B72" s="59" t="s">
        <v>130</v>
      </c>
      <c r="C72" s="60" t="s">
        <v>131</v>
      </c>
      <c r="D72" s="61" t="s">
        <v>284</v>
      </c>
      <c r="E72" s="28"/>
    </row>
  </sheetData>
  <mergeCells count="25">
    <mergeCell ref="A56:E56"/>
    <mergeCell ref="A58:E58"/>
    <mergeCell ref="A62:E62"/>
    <mergeCell ref="A64:E64"/>
    <mergeCell ref="A71:E71"/>
    <mergeCell ref="A44:E44"/>
    <mergeCell ref="A48:E48"/>
    <mergeCell ref="A50:E50"/>
    <mergeCell ref="A52:E52"/>
    <mergeCell ref="A54:E54"/>
    <mergeCell ref="A32:E32"/>
    <mergeCell ref="A34:E34"/>
    <mergeCell ref="A37:E37"/>
    <mergeCell ref="A39:E39"/>
    <mergeCell ref="A41:E41"/>
    <mergeCell ref="A19:E19"/>
    <mergeCell ref="A22:E22"/>
    <mergeCell ref="A24:E24"/>
    <mergeCell ref="A26:E26"/>
    <mergeCell ref="A28:E28"/>
    <mergeCell ref="A1:E1"/>
    <mergeCell ref="A2:E2"/>
    <mergeCell ref="A4:E4"/>
    <mergeCell ref="A8:E8"/>
    <mergeCell ref="A17:E17"/>
  </mergeCell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9" r:id="rId4" xr:uid="{00000000-0004-0000-0500-000003000000}"/>
    <hyperlink ref="D10" r:id="rId5" xr:uid="{00000000-0004-0000-0500-000004000000}"/>
    <hyperlink ref="D11" r:id="rId6" xr:uid="{00000000-0004-0000-0500-000005000000}"/>
    <hyperlink ref="D12" r:id="rId7" xr:uid="{00000000-0004-0000-0500-000006000000}"/>
    <hyperlink ref="D13" r:id="rId8" xr:uid="{00000000-0004-0000-0500-000007000000}"/>
    <hyperlink ref="D14" r:id="rId9" xr:uid="{00000000-0004-0000-0500-000008000000}"/>
    <hyperlink ref="D15" r:id="rId10" xr:uid="{00000000-0004-0000-0500-000009000000}"/>
    <hyperlink ref="D16" r:id="rId11" xr:uid="{00000000-0004-0000-0500-00000A000000}"/>
    <hyperlink ref="D18" r:id="rId12" xr:uid="{00000000-0004-0000-0500-00000B000000}"/>
    <hyperlink ref="D20" r:id="rId13" xr:uid="{00000000-0004-0000-0500-00000C000000}"/>
    <hyperlink ref="D21" r:id="rId14" xr:uid="{00000000-0004-0000-0500-00000D000000}"/>
    <hyperlink ref="D23" r:id="rId15" xr:uid="{00000000-0004-0000-0500-00000E000000}"/>
    <hyperlink ref="D25" r:id="rId16" xr:uid="{00000000-0004-0000-0500-00000F000000}"/>
    <hyperlink ref="D27" r:id="rId17" xr:uid="{00000000-0004-0000-0500-000010000000}"/>
    <hyperlink ref="D29" r:id="rId18" xr:uid="{00000000-0004-0000-0500-000011000000}"/>
    <hyperlink ref="D30" r:id="rId19" xr:uid="{00000000-0004-0000-0500-000012000000}"/>
    <hyperlink ref="D31" r:id="rId20" xr:uid="{00000000-0004-0000-0500-000013000000}"/>
    <hyperlink ref="D33" r:id="rId21" xr:uid="{00000000-0004-0000-0500-000014000000}"/>
    <hyperlink ref="D35" r:id="rId22" xr:uid="{00000000-0004-0000-0500-000015000000}"/>
    <hyperlink ref="D36" r:id="rId23" xr:uid="{00000000-0004-0000-0500-000016000000}"/>
    <hyperlink ref="D38" r:id="rId24" xr:uid="{00000000-0004-0000-0500-000017000000}"/>
    <hyperlink ref="D40" r:id="rId25" xr:uid="{00000000-0004-0000-0500-000018000000}"/>
    <hyperlink ref="D42" r:id="rId26" xr:uid="{00000000-0004-0000-0500-000019000000}"/>
    <hyperlink ref="D43" r:id="rId27" xr:uid="{00000000-0004-0000-0500-00001A000000}"/>
    <hyperlink ref="D45" r:id="rId28" xr:uid="{00000000-0004-0000-0500-00001B000000}"/>
    <hyperlink ref="D46" r:id="rId29" xr:uid="{00000000-0004-0000-0500-00001C000000}"/>
    <hyperlink ref="D47" r:id="rId30" xr:uid="{00000000-0004-0000-0500-00001D000000}"/>
    <hyperlink ref="D49" r:id="rId31" xr:uid="{00000000-0004-0000-0500-00001E000000}"/>
    <hyperlink ref="D51" r:id="rId32" xr:uid="{00000000-0004-0000-0500-00001F000000}"/>
    <hyperlink ref="D53" r:id="rId33" xr:uid="{00000000-0004-0000-0500-000020000000}"/>
    <hyperlink ref="D55" r:id="rId34" xr:uid="{00000000-0004-0000-0500-000021000000}"/>
    <hyperlink ref="D57" r:id="rId35" xr:uid="{00000000-0004-0000-0500-000022000000}"/>
    <hyperlink ref="D59" r:id="rId36" xr:uid="{00000000-0004-0000-0500-000023000000}"/>
    <hyperlink ref="D60" r:id="rId37" xr:uid="{00000000-0004-0000-0500-000024000000}"/>
    <hyperlink ref="D61" r:id="rId38" xr:uid="{00000000-0004-0000-0500-000025000000}"/>
    <hyperlink ref="D63" r:id="rId39" xr:uid="{00000000-0004-0000-0500-000026000000}"/>
    <hyperlink ref="D65" r:id="rId40" xr:uid="{00000000-0004-0000-0500-000027000000}"/>
    <hyperlink ref="D66" r:id="rId41" xr:uid="{00000000-0004-0000-0500-000028000000}"/>
    <hyperlink ref="D67" r:id="rId42" xr:uid="{00000000-0004-0000-0500-000029000000}"/>
    <hyperlink ref="D68" r:id="rId43" xr:uid="{00000000-0004-0000-0500-00002A000000}"/>
    <hyperlink ref="D69" r:id="rId44" xr:uid="{00000000-0004-0000-0500-00002B000000}"/>
    <hyperlink ref="D70" r:id="rId45" xr:uid="{00000000-0004-0000-0500-00002C000000}"/>
    <hyperlink ref="D72" r:id="rId46" xr:uid="{00000000-0004-0000-0500-00002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B22"/>
  <sheetViews>
    <sheetView showGridLines="0" zoomScaleNormal="100" workbookViewId="0">
      <selection sqref="A1:B1"/>
    </sheetView>
  </sheetViews>
  <sheetFormatPr baseColWidth="10" defaultColWidth="8.6640625" defaultRowHeight="15" x14ac:dyDescent="0.2"/>
  <cols>
    <col min="1" max="1" width="28" customWidth="1"/>
    <col min="2" max="2" width="72" customWidth="1"/>
  </cols>
  <sheetData>
    <row r="1" spans="1:2" ht="15" customHeight="1" x14ac:dyDescent="0.2">
      <c r="A1" s="13" t="s">
        <v>285</v>
      </c>
      <c r="B1" s="13"/>
    </row>
    <row r="2" spans="1:2" ht="15.75" customHeight="1" x14ac:dyDescent="0.2">
      <c r="A2" s="46" t="s">
        <v>286</v>
      </c>
      <c r="B2" s="46" t="s">
        <v>287</v>
      </c>
    </row>
    <row r="3" spans="1:2" ht="30" customHeight="1" x14ac:dyDescent="0.2">
      <c r="A3" s="62" t="s">
        <v>288</v>
      </c>
      <c r="B3" s="63" t="s">
        <v>289</v>
      </c>
    </row>
    <row r="4" spans="1:2" ht="30" customHeight="1" x14ac:dyDescent="0.2">
      <c r="A4" s="64" t="s">
        <v>290</v>
      </c>
      <c r="B4" s="65" t="s">
        <v>291</v>
      </c>
    </row>
    <row r="5" spans="1:2" ht="30" customHeight="1" x14ac:dyDescent="0.2">
      <c r="A5" s="62" t="s">
        <v>292</v>
      </c>
      <c r="B5" s="63" t="s">
        <v>293</v>
      </c>
    </row>
    <row r="6" spans="1:2" ht="30" customHeight="1" x14ac:dyDescent="0.2">
      <c r="A6" s="64" t="s">
        <v>294</v>
      </c>
      <c r="B6" s="65" t="s">
        <v>295</v>
      </c>
    </row>
    <row r="7" spans="1:2" ht="30" customHeight="1" x14ac:dyDescent="0.2">
      <c r="A7" s="62" t="s">
        <v>296</v>
      </c>
      <c r="B7" s="63" t="s">
        <v>297</v>
      </c>
    </row>
    <row r="8" spans="1:2" ht="30" customHeight="1" x14ac:dyDescent="0.2">
      <c r="A8" s="64" t="s">
        <v>298</v>
      </c>
      <c r="B8" s="65" t="s">
        <v>299</v>
      </c>
    </row>
    <row r="9" spans="1:2" ht="30" customHeight="1" x14ac:dyDescent="0.2">
      <c r="A9" s="62" t="s">
        <v>300</v>
      </c>
      <c r="B9" s="63" t="s">
        <v>301</v>
      </c>
    </row>
    <row r="10" spans="1:2" ht="30" customHeight="1" x14ac:dyDescent="0.2">
      <c r="A10" s="64" t="s">
        <v>302</v>
      </c>
      <c r="B10" s="65" t="s">
        <v>303</v>
      </c>
    </row>
    <row r="11" spans="1:2" ht="30" customHeight="1" x14ac:dyDescent="0.2">
      <c r="A11" s="62" t="s">
        <v>304</v>
      </c>
      <c r="B11" s="63" t="s">
        <v>305</v>
      </c>
    </row>
    <row r="12" spans="1:2" ht="30" customHeight="1" x14ac:dyDescent="0.2">
      <c r="A12" s="64" t="s">
        <v>306</v>
      </c>
      <c r="B12" s="65" t="s">
        <v>307</v>
      </c>
    </row>
    <row r="13" spans="1:2" ht="30" customHeight="1" x14ac:dyDescent="0.2">
      <c r="A13" s="62" t="s">
        <v>308</v>
      </c>
      <c r="B13" s="63" t="s">
        <v>309</v>
      </c>
    </row>
    <row r="14" spans="1:2" ht="30" customHeight="1" x14ac:dyDescent="0.2">
      <c r="A14" s="64" t="s">
        <v>310</v>
      </c>
      <c r="B14" s="65" t="s">
        <v>311</v>
      </c>
    </row>
    <row r="15" spans="1:2" ht="30" customHeight="1" x14ac:dyDescent="0.2">
      <c r="A15" s="62" t="s">
        <v>312</v>
      </c>
      <c r="B15" s="63" t="s">
        <v>313</v>
      </c>
    </row>
    <row r="16" spans="1:2" ht="30" customHeight="1" x14ac:dyDescent="0.2">
      <c r="A16" s="64" t="s">
        <v>314</v>
      </c>
      <c r="B16" s="65" t="s">
        <v>315</v>
      </c>
    </row>
    <row r="17" spans="1:2" ht="30" customHeight="1" x14ac:dyDescent="0.2">
      <c r="A17" s="62" t="s">
        <v>316</v>
      </c>
      <c r="B17" s="63" t="s">
        <v>317</v>
      </c>
    </row>
    <row r="18" spans="1:2" ht="30" customHeight="1" x14ac:dyDescent="0.2">
      <c r="A18" s="64" t="s">
        <v>318</v>
      </c>
      <c r="B18" s="65" t="s">
        <v>319</v>
      </c>
    </row>
    <row r="19" spans="1:2" ht="30" customHeight="1" x14ac:dyDescent="0.2">
      <c r="A19" s="62" t="s">
        <v>320</v>
      </c>
      <c r="B19" s="63" t="s">
        <v>321</v>
      </c>
    </row>
    <row r="20" spans="1:2" ht="30" customHeight="1" x14ac:dyDescent="0.2">
      <c r="A20" s="64" t="s">
        <v>322</v>
      </c>
      <c r="B20" s="65" t="s">
        <v>323</v>
      </c>
    </row>
    <row r="21" spans="1:2" ht="30" customHeight="1" x14ac:dyDescent="0.2">
      <c r="A21" s="62" t="s">
        <v>324</v>
      </c>
      <c r="B21" s="63" t="s">
        <v>325</v>
      </c>
    </row>
    <row r="22" spans="1:2" ht="30" customHeight="1" x14ac:dyDescent="0.2">
      <c r="A22" s="64" t="s">
        <v>326</v>
      </c>
      <c r="B22" s="65" t="s">
        <v>327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Painel de Crédito</vt:lpstr>
      <vt:lpstr>Inputs — DFs</vt:lpstr>
      <vt:lpstr>Cronograma de Amortização</vt:lpstr>
      <vt:lpstr>Wall of Maturities</vt:lpstr>
      <vt:lpstr>Covenants &amp; Capex</vt:lpstr>
      <vt:lpstr>Fontes — RI</vt:lpstr>
      <vt:lpstr>Notas Metodológicas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Joao Pedro Boclin Camara e Silva</cp:lastModifiedBy>
  <cp:revision>0</cp:revision>
  <dcterms:created xsi:type="dcterms:W3CDTF">2026-05-12T12:55:06Z</dcterms:created>
  <dcterms:modified xsi:type="dcterms:W3CDTF">2026-05-14T17:00:01Z</dcterms:modified>
  <dc:language>en-US</dc:language>
</cp:coreProperties>
</file>